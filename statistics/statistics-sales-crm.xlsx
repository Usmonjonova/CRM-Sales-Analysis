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ER\Downloads\Telegram Desktop\"/>
    </mc:Choice>
  </mc:AlternateContent>
  <xr:revisionPtr revIDLastSave="0" documentId="8_{9DAE3063-D25A-438D-A5CA-9C4A1CCE6D8D}" xr6:coauthVersionLast="47" xr6:coauthVersionMax="47" xr10:uidLastSave="{00000000-0000-0000-0000-000000000000}"/>
  <bookViews>
    <workbookView xWindow="-108" yWindow="-108" windowWidth="23256" windowHeight="12456" firstSheet="5" activeTab="2" xr2:uid="{00000000-000D-0000-FFFF-FFFF00000000}"/>
  </bookViews>
  <sheets>
    <sheet name="1.Understanding Dataset" sheetId="1" r:id="rId1"/>
    <sheet name="2. Descriptive Statistics" sheetId="2" r:id="rId2"/>
    <sheet name="3. Distribution Analysis" sheetId="3" r:id="rId3"/>
    <sheet name="4. Correlation Analysis" sheetId="4" r:id="rId4"/>
    <sheet name="5. Regression Analysis" sheetId="5" r:id="rId5"/>
    <sheet name="6. Hypothesis Analysis" sheetId="6" r:id="rId6"/>
    <sheet name="7. ANOVA Analysis" sheetId="7" r:id="rId7"/>
    <sheet name="8. Outlier Detection" sheetId="8" r:id="rId8"/>
    <sheet name="9. Conclus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<sst xmlns="http://schemas.openxmlformats.org/spreadsheetml/2006/main" count="271" uniqueCount="211">
  <si>
    <t>1. MA'LUMOTLARNI TUSHUNISH</t>
  </si>
  <si>
    <t>Ko'rsatkich</t>
  </si>
  <si>
    <t>Jami qatorlar (kompaniyalar)</t>
  </si>
  <si>
    <t>85</t>
  </si>
  <si>
    <t>Har bir qator = 1 kompaniya</t>
  </si>
  <si>
    <t>Jami ustunlar (o'zgaruvchilar)</t>
  </si>
  <si>
    <t>7</t>
  </si>
  <si>
    <t>account, sector, year_established, revenue, employees, office_location, subsidiary_of</t>
  </si>
  <si>
    <t>To'liq to'ldirilgan ustunlar</t>
  </si>
  <si>
    <t>6 ta</t>
  </si>
  <si>
    <t>Faqat subsidiary_of bo'sh</t>
  </si>
  <si>
    <t>Bo'sh qiymatlar</t>
  </si>
  <si>
    <t>70 ta (subsidiary_of)</t>
  </si>
  <si>
    <t>82% kompaniya mustaqil, shuning uchun bo'sh</t>
  </si>
  <si>
    <t>Yillar diapazoni</t>
  </si>
  <si>
    <t>1979 – 2017</t>
  </si>
  <si>
    <t>38 yil oralig'i</t>
  </si>
  <si>
    <t>Sohalar soni</t>
  </si>
  <si>
    <t>10 ta sektor</t>
  </si>
  <si>
    <t>retail, technology, medical, software va boshqalar</t>
  </si>
  <si>
    <t>Mamlakatlar soni</t>
  </si>
  <si>
    <t>15 ta</t>
  </si>
  <si>
    <t>71 kompaniya AQShda, 14 tasi xorijda</t>
  </si>
  <si>
    <t>Ustun nomi</t>
  </si>
  <si>
    <t>Ma'lumot turi</t>
  </si>
  <si>
    <t>account</t>
  </si>
  <si>
    <t>sector</t>
  </si>
  <si>
    <t>year_established</t>
  </si>
  <si>
    <t>revenue</t>
  </si>
  <si>
    <t>employees</t>
  </si>
  <si>
    <t>office_location</t>
  </si>
  <si>
    <t>subsidiary_of</t>
  </si>
  <si>
    <t>Asosiy Statistik Ko'rsatkichlar</t>
  </si>
  <si>
    <t>Daromad ($k)</t>
  </si>
  <si>
    <t>Xodimlar soni</t>
  </si>
  <si>
    <t>Tashkil yili</t>
  </si>
  <si>
    <t>—</t>
  </si>
  <si>
    <t>Minimum</t>
  </si>
  <si>
    <t>Maksimum</t>
  </si>
  <si>
    <t>Natijalar Talqini (Interpretation)</t>
  </si>
  <si>
    <t>Xodimlar soni ham kuchli tarqalgan: 9 kishidan 34,288 kishigacha.</t>
  </si>
  <si>
    <t>O'zgaruvchi</t>
  </si>
  <si>
    <t>Daromad (Revenue)</t>
  </si>
  <si>
    <t>Xodimlar (Employees)</t>
  </si>
  <si>
    <t>Juda kuchli o'ng qiyalik – normal taqsimotdan uzoq</t>
  </si>
  <si>
    <t>Taxminan simmetrik – yillar bo'yicha teng taqsimot</t>
  </si>
  <si>
    <t>Xulosa</t>
  </si>
  <si>
    <t>&lt;0.0001</t>
  </si>
  <si>
    <t>$0 – $1,000</t>
  </si>
  <si>
    <t>$1,000 – $2,000</t>
  </si>
  <si>
    <t>$2,000 – $3,000</t>
  </si>
  <si>
    <t>$3,000 – $4,000</t>
  </si>
  <si>
    <t>$4,000 – $5,000</t>
  </si>
  <si>
    <t>$5,000 – $6,000</t>
  </si>
  <si>
    <t>$6,000 – $8,000</t>
  </si>
  <si>
    <t>$8,000 +</t>
  </si>
  <si>
    <t>Juda kuchli musbat bog'liqlik</t>
  </si>
  <si>
    <t>O'rtacha manfiy bog'liqlik</t>
  </si>
  <si>
    <t>Juftlik</t>
  </si>
  <si>
    <t>&lt;2.1×10⁻⁴²</t>
  </si>
  <si>
    <t>Kompaniya qancha katta bo'lsa, daromadi shuncha yuqori – eng asosiy topilma</t>
  </si>
  <si>
    <t>O'rtacha manfiy</t>
  </si>
  <si>
    <t>Eski kompaniyalar ko'proq daromad oladi – yillar o'tishi bilan o'sish to'planadi</t>
  </si>
  <si>
    <t>Eski kompaniyalar ko'proq xodimga ega – bu kutilgan holat</t>
  </si>
  <si>
    <t>R² (Determinatsiya koeffitsienti)</t>
  </si>
  <si>
    <t>O'rtacha taxmin xatosi $707k</t>
  </si>
  <si>
    <t>Har 1 xodim = +$359 daromad</t>
  </si>
  <si>
    <t>R² = 89.5%</t>
  </si>
  <si>
    <t>Har 1,000 ta xodimga qo'shilishi ≈ $359,100 daromad o'sishi bilan bog'liq.</t>
  </si>
  <si>
    <t>Intercept 320.89</t>
  </si>
  <si>
    <t>Model statistik jihatdan nihoyatda ahamiyatli. Bu tasodifiy emas.</t>
  </si>
  <si>
    <t>71 ta</t>
  </si>
  <si>
    <t>14 ta</t>
  </si>
  <si>
    <t>$2,014k</t>
  </si>
  <si>
    <t>$1,896k</t>
  </si>
  <si>
    <t>H₀ RAD ETILMADI</t>
  </si>
  <si>
    <t>p &gt; 0.05</t>
  </si>
  <si>
    <t>Bir Tomonlama ANOVA Natijalari</t>
  </si>
  <si>
    <t>Ahamiyatlilik (α)</t>
  </si>
  <si>
    <t>Sektorlar o'rtasida statistik ahamiyatli farq yo'q (p=0.164 &gt; 0.05)</t>
  </si>
  <si>
    <t>Sektor</t>
  </si>
  <si>
    <t>Marketing</t>
  </si>
  <si>
    <t>ANOVA Natijasi Talqini</t>
  </si>
  <si>
    <t>IQR (Q3 – Q1)</t>
  </si>
  <si>
    <t>Quyi chegara (Q1–1.5×IQR)</t>
  </si>
  <si>
    <t>Yuqori chegara (Q3+1.5×IQR)</t>
  </si>
  <si>
    <t>Software</t>
  </si>
  <si>
    <t>AQSh</t>
  </si>
  <si>
    <t>Hottechi</t>
  </si>
  <si>
    <t>Technology</t>
  </si>
  <si>
    <t>Koreya</t>
  </si>
  <si>
    <t>Konex</t>
  </si>
  <si>
    <t>Xx-holding</t>
  </si>
  <si>
    <t>Finance</t>
  </si>
  <si>
    <t>Initech</t>
  </si>
  <si>
    <t>Telecommunications</t>
  </si>
  <si>
    <t>Scotfind</t>
  </si>
  <si>
    <t>r=-0.435 – 1990-yilgacha tashkil etilgan kompaniyalar daromad va xodimlar bo'yicha ustunlik qiladi.</t>
  </si>
  <si>
    <t>Skewness=2.0 (daromad). Median=$1,224k o'rtacha qiymatdan ($1,995k) ko'ra ishonchli ko'rsatkich.</t>
  </si>
  <si>
    <t>Kan-code, Hottechi, Konex, Xx-holding, Initech, Scotfind – $6.1M dan ortiq daromad bilan ajralib turadi.</t>
  </si>
  <si>
    <t>Sektor farqlari ahamiyatsiz</t>
  </si>
  <si>
    <t>ANOVA p=0.164 &gt; 0.05. Software sektori yuqori ko'rinsa-da, namuna kichikligi sababli tasdiqlanmadi.</t>
  </si>
  <si>
    <t>O'ng qiyalik sababli, o'rta qiymat emas, mediana ($1,224k) 'odatiy' kompaniyani to'g'ri ifodalaydi.</t>
  </si>
  <si>
    <t>Revenue = 320.89 + 0.3591 × Employees. Yangi kompaniyalar uchun daromad prognozida foydalaning.</t>
  </si>
  <si>
    <t>Ular o'rta ko'rsatkichlarni oshirib ko'rsatadi. Benchmark tahlilida ularni ajratib ko'rsating.</t>
  </si>
  <si>
    <t>Har bir sektorda 30+ kompaniya bo'lsa, ANOVA va sektor tahlili ishonchli natija beradi.</t>
  </si>
  <si>
    <t>string</t>
  </si>
  <si>
    <t>string / null</t>
  </si>
  <si>
    <t>integer</t>
  </si>
  <si>
    <t>decimal</t>
  </si>
  <si>
    <t>2. DESCRIPTIVE STATISTICS</t>
  </si>
  <si>
    <t>Mean</t>
  </si>
  <si>
    <t>Std Dev</t>
  </si>
  <si>
    <t>Mode</t>
  </si>
  <si>
    <t>Median</t>
  </si>
  <si>
    <t>Variance</t>
  </si>
  <si>
    <t>Mean vs Median</t>
  </si>
  <si>
    <t>Employees Variance</t>
  </si>
  <si>
    <t>Mean Value ($1,995k) mediandan ($1,224k) 63% yuqori. Bu bir necha juda katta kompaniyalar o'rta qiymatni yuqoriga tortayotganini ko'rsatadi.</t>
  </si>
  <si>
    <t>3. DISTRIBUTION ANALYSIS</t>
  </si>
  <si>
    <t>Skewness</t>
  </si>
  <si>
    <t>Kurtosis</t>
  </si>
  <si>
    <t>Skewness va Kurtosis</t>
  </si>
  <si>
    <t>Interpretatsiya</t>
  </si>
  <si>
    <t>Kuchli og'ish bir qancah katta revenue ga ega kompaniyalar borligini bildiradi</t>
  </si>
  <si>
    <t>Revenue Histogram</t>
  </si>
  <si>
    <t>Percent</t>
  </si>
  <si>
    <t>Number of Companies</t>
  </si>
  <si>
    <t>Revene</t>
  </si>
  <si>
    <t>• 85 kompaniyaning 36 tasi ($0–$1M) past daromad oralig'ida – bu right skewnessni tasdiqlaydi</t>
  </si>
  <si>
    <t>• Faqat 6 ta kompaniya (7%) $6M dan yuqori daromad oladi, aynan shu kompaniyalar o'rta qiymatni oshishiga sabab</t>
  </si>
  <si>
    <t>4. CORRELATION ANALYSIS</t>
  </si>
  <si>
    <t>Revenue</t>
  </si>
  <si>
    <t>Employees</t>
  </si>
  <si>
    <t>Established Year</t>
  </si>
  <si>
    <t xml:space="preserve"> - </t>
  </si>
  <si>
    <t>Correlation Anlaysis</t>
  </si>
  <si>
    <t>Correlation Details</t>
  </si>
  <si>
    <t>Revenue ↔ Employees</t>
  </si>
  <si>
    <t>Revenue ↔ Established Year</t>
  </si>
  <si>
    <t>Employees ↔ Established Year</t>
  </si>
  <si>
    <t>Juda kuchli musbat</t>
  </si>
  <si>
    <t>r value</t>
  </si>
  <si>
    <t>p-value</t>
  </si>
  <si>
    <t>Corr Strength</t>
  </si>
  <si>
    <t>5.REGRESSION ANALYSIS</t>
  </si>
  <si>
    <t>Model Statistics</t>
  </si>
  <si>
    <t>Value</t>
  </si>
  <si>
    <t>t-statistics</t>
  </si>
  <si>
    <t>89.5% daromad employeega bog'liq</t>
  </si>
  <si>
    <t>Standart Error</t>
  </si>
  <si>
    <t>Intercept</t>
  </si>
  <si>
    <t>0 xodimga ega kompaniya uchun bazaviy daromad</t>
  </si>
  <si>
    <t>Slope</t>
  </si>
  <si>
    <t>Regression Equation</t>
  </si>
  <si>
    <t>Revenue =  320.89  +  (0.3591  ×  Employees)</t>
  </si>
  <si>
    <t>Regression evenue o'zgarishining 89.5% ini izohlaydi. Revenuening 89.5% foiz o'sishi employeega bog'liqBu juda yaxhsi natija</t>
  </si>
  <si>
    <t>Bu teorik baza qiymat – nol xodimli kompaniya uchun taxminiy $321k daromad. Lekin real hayotda unday bo'lmagani uchun bu statistika ahamiyatsiz</t>
  </si>
  <si>
    <t>Slope 0.3591</t>
  </si>
  <si>
    <t>p-value&lt; 10⁻⁴²</t>
  </si>
  <si>
    <t>Standart Error $707k</t>
  </si>
  <si>
    <t>Real revenue taxmin qilingan qiymatdan o'rtacha $707k ga farq qilishi mumkin.</t>
  </si>
  <si>
    <t>6. HYPOTHESIS TESTING</t>
  </si>
  <si>
    <t>USA vs Other countries Companies Revenue</t>
  </si>
  <si>
    <t>USA Companies</t>
  </si>
  <si>
    <t>Foreign Companies</t>
  </si>
  <si>
    <t>Soni</t>
  </si>
  <si>
    <t>Mean Revenue</t>
  </si>
  <si>
    <t>H0: USA va Foreign Companies O'rtasida farq yo'q</t>
  </si>
  <si>
    <t>H1: USA Companies Foreigndan forq qiladi</t>
  </si>
  <si>
    <t>USA va Foreign Companies O'rtasida deyarli farq yo'q</t>
  </si>
  <si>
    <t>Gipoteza Testing AQSH kompaniyalari va Foreign companies dan kelayotgan revenue o'rtasidadeyarli farq yo'qligini isbotladi. Revenuening oshishida Countryning ahamiyati yo'q deb xulosa qilamiz</t>
  </si>
  <si>
    <t>7. ANOA Analysis – Revenue By Sectors</t>
  </si>
  <si>
    <t>Interpretastiya</t>
  </si>
  <si>
    <t>F-statistics</t>
  </si>
  <si>
    <t>Median ($k)</t>
  </si>
  <si>
    <t xml:space="preserve">Min </t>
  </si>
  <si>
    <t>Max</t>
  </si>
  <si>
    <t>Revenue Statistics by Revenue</t>
  </si>
  <si>
    <t>Entertainment</t>
  </si>
  <si>
    <t xml:space="preserve">Retail </t>
  </si>
  <si>
    <t>Employment</t>
  </si>
  <si>
    <t>Medical</t>
  </si>
  <si>
    <t>Services</t>
  </si>
  <si>
    <t>8. OUTLIER ANALYSIS</t>
  </si>
  <si>
    <t>IQR Metodi</t>
  </si>
  <si>
    <t>Q1 (25-foiz)</t>
  </si>
  <si>
    <t>Q3 (75-foiz)</t>
  </si>
  <si>
    <t>Outliers(6 companies)</t>
  </si>
  <si>
    <t>Company</t>
  </si>
  <si>
    <t>Sector</t>
  </si>
  <si>
    <t>Country</t>
  </si>
  <si>
    <t>Can-Kode</t>
  </si>
  <si>
    <t>Barcha 6 ta chekka qiymat kompaniyasi katta xodimlar soniga ega</t>
  </si>
  <si>
    <t>Ular outlier bo'lsa ham, bu xato emas, ular biznesdagi katta kompaniyalar</t>
  </si>
  <si>
    <t>Kan-code (34,288 xodim, $11.7M) – datasetdagi eng katta kompaniya.</t>
  </si>
  <si>
    <t>9. Business Advices</t>
  </si>
  <si>
    <t>Key Findings</t>
  </si>
  <si>
    <t>Details</t>
  </si>
  <si>
    <t>6 ta outlier kompaniya</t>
  </si>
  <si>
    <t>Right Skewness Distribution</t>
  </si>
  <si>
    <t>Eski Kompaniyalr kattaroq</t>
  </si>
  <si>
    <t>Employees = Revenue</t>
  </si>
  <si>
    <t>r=0.946, R²=89.5% – xodimlar soni daromadni deyarli to'liq o'zgartiradi. Har 1,000 xodim ≈ $359k daromad.</t>
  </si>
  <si>
    <t>Median asosida tahlil qilish</t>
  </si>
  <si>
    <t>Regressiya qo'llash</t>
  </si>
  <si>
    <t>6 ta big companyni control qilish</t>
  </si>
  <si>
    <t>Datani kengaytirish</t>
  </si>
  <si>
    <t>Recommendations</t>
  </si>
  <si>
    <t xml:space="preserve">Dataset </t>
  </si>
  <si>
    <t>Data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</si>
</sst>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sz val="11"/>
      <color rgb="FF000000"/>
      <name val="Arial"/>
    </font>
    <font>
      <b/>
      <sz val="11"/>
      <color rgb="FF000000"/>
      <name val="Arial"/>
    </font>
    <font>
      <sz val="11"/>
      <color theme="0"/>
      <name val="Calibri"/>
      <family val="2"/>
      <scheme val="minor"/>
    </font>
    <font>
      <b/>
      <sz val="13"/>
      <color rgb="FFFFFFFF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4"/>
      <color rgb="FFFFFFFF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13"/>
      <color theme="0"/>
      <name val="Arial"/>
      <family val="2"/>
      <charset val="204"/>
    </font>
    <font>
      <sz val="11"/>
      <color theme="0"/>
      <name val="Arial"/>
      <family val="2"/>
      <charset val="204"/>
    </font>
    <font>
      <b/>
      <sz val="11"/>
      <color theme="0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CCCC"/>
      </patternFill>
    </fill>
    <fill>
      <patternFill patternType="solid">
        <fgColor rgb="FFFFF2CC"/>
      </patternFill>
    </fill>
    <fill>
      <patternFill patternType="solid">
        <fgColor rgb="FFDEEAF1"/>
      </patternFill>
    </fill>
    <fill>
      <patternFill patternType="solid">
        <fgColor rgb="FFC000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4" fontId="5" fillId="7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 wrapText="1"/>
    </xf>
    <xf numFmtId="4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 wrapText="1"/>
    </xf>
    <xf numFmtId="4" fontId="4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right" vertical="center"/>
    </xf>
    <xf numFmtId="4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164" fontId="4" fillId="12" borderId="1" xfId="0" applyNumberFormat="1" applyFont="1" applyFill="1" applyBorder="1" applyAlignment="1">
      <alignment horizontal="right" vertical="center"/>
    </xf>
    <xf numFmtId="0" fontId="4" fillId="12" borderId="1" xfId="0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4" fillId="9" borderId="1" xfId="0" applyNumberFormat="1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8" borderId="0" xfId="0" applyFont="1" applyFill="1" applyAlignment="1">
      <alignment horizontal="center" vertical="center" wrapText="1"/>
    </xf>
    <xf numFmtId="0" fontId="0" fillId="14" borderId="0" xfId="0" applyFill="1" applyBorder="1" applyAlignment="1"/>
    <xf numFmtId="0" fontId="2" fillId="14" borderId="0" xfId="0" applyFont="1" applyFill="1" applyBorder="1" applyAlignment="1">
      <alignment horizontal="center" wrapText="1"/>
    </xf>
    <xf numFmtId="0" fontId="0" fillId="14" borderId="0" xfId="0" applyFill="1" applyBorder="1" applyAlignment="1"/>
    <xf numFmtId="0" fontId="3" fillId="14" borderId="0" xfId="0" applyFont="1" applyFill="1" applyBorder="1" applyAlignment="1">
      <alignment horizontal="center" wrapText="1"/>
    </xf>
    <xf numFmtId="0" fontId="4" fillId="14" borderId="0" xfId="0" applyFont="1" applyFill="1" applyBorder="1" applyAlignment="1">
      <alignment horizontal="left" wrapText="1"/>
    </xf>
    <xf numFmtId="0" fontId="4" fillId="9" borderId="3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right" vertical="center"/>
    </xf>
    <xf numFmtId="0" fontId="4" fillId="5" borderId="5" xfId="0" applyFont="1" applyFill="1" applyBorder="1" applyAlignment="1">
      <alignment horizontal="right" vertical="center"/>
    </xf>
    <xf numFmtId="0" fontId="3" fillId="14" borderId="0" xfId="0" applyFont="1" applyFill="1" applyBorder="1" applyAlignment="1">
      <alignment horizontal="center" vertical="center" wrapText="1"/>
    </xf>
    <xf numFmtId="0" fontId="4" fillId="14" borderId="0" xfId="0" applyFont="1" applyFill="1" applyBorder="1" applyAlignment="1">
      <alignment horizontal="right" vertical="center"/>
    </xf>
    <xf numFmtId="0" fontId="7" fillId="8" borderId="0" xfId="0" applyFont="1" applyFill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0" fillId="0" borderId="1" xfId="0" applyBorder="1"/>
    <xf numFmtId="0" fontId="9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6" fillId="0" borderId="0" xfId="0" applyFont="1" applyBorder="1"/>
    <xf numFmtId="0" fontId="6" fillId="0" borderId="0" xfId="0" applyFont="1" applyBorder="1" applyAlignment="1"/>
    <xf numFmtId="0" fontId="13" fillId="14" borderId="0" xfId="0" applyFont="1" applyFill="1" applyBorder="1" applyAlignment="1"/>
    <xf numFmtId="0" fontId="12" fillId="14" borderId="0" xfId="0" applyFont="1" applyFill="1" applyBorder="1" applyAlignment="1"/>
    <xf numFmtId="0" fontId="8" fillId="6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7" fillId="3" borderId="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4" fillId="9" borderId="0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7" fillId="13" borderId="0" xfId="0" applyFont="1" applyFill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8" fillId="9" borderId="0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4" fillId="14" borderId="0" xfId="0" applyFont="1" applyFill="1" applyBorder="1" applyAlignment="1">
      <alignment horizontal="center" vertical="center"/>
    </xf>
    <xf numFmtId="0" fontId="13" fillId="14" borderId="0" xfId="0" applyFont="1" applyFill="1" applyBorder="1" applyAlignment="1">
      <alignment horizontal="left" vertical="center"/>
    </xf>
    <xf numFmtId="0" fontId="12" fillId="14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</a:t>
            </a:r>
            <a:r>
              <a:rPr lang="en-US" baseline="0"/>
              <a:t> Histogram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355860373914536E-2"/>
          <c:y val="9.4729221347331583E-2"/>
          <c:w val="0.71675582302462948"/>
          <c:h val="0.6079468503937007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'3. Distribution Analysis'!$B$13</c:f>
              <c:strCache>
                <c:ptCount val="1"/>
                <c:pt idx="0">
                  <c:v>Number of Companies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Distribution Analysis'!$A$14:$A$21</c:f>
              <c:strCache>
                <c:ptCount val="8"/>
                <c:pt idx="0">
                  <c:v>$0 – $1,000</c:v>
                </c:pt>
                <c:pt idx="1">
                  <c:v>$1,000 – $2,000</c:v>
                </c:pt>
                <c:pt idx="2">
                  <c:v>$2,000 – $3,000</c:v>
                </c:pt>
                <c:pt idx="3">
                  <c:v>$3,000 – $4,000</c:v>
                </c:pt>
                <c:pt idx="4">
                  <c:v>$4,000 – $5,000</c:v>
                </c:pt>
                <c:pt idx="5">
                  <c:v>$5,000 – $6,000</c:v>
                </c:pt>
                <c:pt idx="6">
                  <c:v>$6,000 – $8,000</c:v>
                </c:pt>
                <c:pt idx="7">
                  <c:v>$8,000 +</c:v>
                </c:pt>
              </c:strCache>
            </c:strRef>
          </c:cat>
          <c:val>
            <c:numRef>
              <c:f>'3. Distribution Analysis'!$B$14:$B$21</c:f>
              <c:numCache>
                <c:formatCode>General</c:formatCode>
                <c:ptCount val="8"/>
                <c:pt idx="0">
                  <c:v>36</c:v>
                </c:pt>
                <c:pt idx="1">
                  <c:v>17</c:v>
                </c:pt>
                <c:pt idx="2">
                  <c:v>16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6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7-4C0E-A5BC-2A03A216A8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anchor="b" anchorCtr="1"/>
              <a:lstStyle/>
              <a:p>
                <a:pPr>
                  <a:defRPr/>
                </a:pPr>
                <a:r>
                  <a:rPr lang="en-US"/>
                  <a:t>Revenue</a:t>
                </a:r>
                <a:r>
                  <a:rPr lang="en-US" baseline="0"/>
                  <a:t> </a:t>
                </a:r>
                <a:r>
                  <a:rPr lang="en-US"/>
                  <a:t>($k)</a:t>
                </a:r>
              </a:p>
            </c:rich>
          </c:tx>
          <c:layout>
            <c:manualLayout>
              <c:xMode val="edge"/>
              <c:yMode val="edge"/>
              <c:x val="0.39322968906720163"/>
              <c:y val="0.9383193350831146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  <a:r>
                  <a:rPr lang="en-US" baseline="0"/>
                  <a:t> of companies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3388513890018404E-2"/>
              <c:y val="0.31653587051618554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Sektorlar Bo'yicha O'rta Daromad ($k)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6444444444444443E-2"/>
          <c:y val="6.792819019893255E-2"/>
          <c:w val="0.7345348611111111"/>
          <c:h val="0.88112566715186802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'7. ANOVA Analysis'!$B$12</c:f>
              <c:strCache>
                <c:ptCount val="1"/>
                <c:pt idx="0">
                  <c:v>Mean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'7. ANOVA Analysis'!$A$13:$A$22</c:f>
              <c:strCache>
                <c:ptCount val="10"/>
                <c:pt idx="0">
                  <c:v>Software</c:v>
                </c:pt>
                <c:pt idx="1">
                  <c:v>Telecommunications</c:v>
                </c:pt>
                <c:pt idx="2">
                  <c:v>Technology</c:v>
                </c:pt>
                <c:pt idx="3">
                  <c:v>Finance</c:v>
                </c:pt>
                <c:pt idx="4">
                  <c:v>Marketing</c:v>
                </c:pt>
                <c:pt idx="5">
                  <c:v>Entertainment</c:v>
                </c:pt>
                <c:pt idx="6">
                  <c:v>Retail </c:v>
                </c:pt>
                <c:pt idx="7">
                  <c:v>Employment</c:v>
                </c:pt>
                <c:pt idx="8">
                  <c:v>Medical</c:v>
                </c:pt>
                <c:pt idx="9">
                  <c:v>Services</c:v>
                </c:pt>
              </c:strCache>
            </c:strRef>
          </c:cat>
          <c:val>
            <c:numRef>
              <c:f>'7. ANOVA Analysis'!$B$13:$B$22</c:f>
              <c:numCache>
                <c:formatCode>General</c:formatCode>
                <c:ptCount val="10"/>
                <c:pt idx="0">
                  <c:v>4421.49</c:v>
                </c:pt>
                <c:pt idx="1">
                  <c:v>2743.65</c:v>
                </c:pt>
                <c:pt idx="2">
                  <c:v>2315.04</c:v>
                </c:pt>
                <c:pt idx="3">
                  <c:v>2029.17</c:v>
                </c:pt>
                <c:pt idx="4">
                  <c:v>1633.8</c:v>
                </c:pt>
                <c:pt idx="5">
                  <c:v>1610.87</c:v>
                </c:pt>
                <c:pt idx="6">
                  <c:v>1609.16</c:v>
                </c:pt>
                <c:pt idx="7">
                  <c:v>1526.16</c:v>
                </c:pt>
                <c:pt idx="8">
                  <c:v>1414.74</c:v>
                </c:pt>
                <c:pt idx="9">
                  <c:v>988.94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C-4F83-BBF8-E1CA8AF05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O'rta daromad ($k)</a:t>
                </a:r>
              </a:p>
            </c:rich>
          </c:tx>
          <c:layout>
            <c:manualLayout>
              <c:xMode val="edge"/>
              <c:yMode val="edge"/>
              <c:x val="1.0221666666666667E-2"/>
              <c:y val="0.39648229015041242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Sektor</a:t>
                </a:r>
              </a:p>
            </c:rich>
          </c:tx>
          <c:layout>
            <c:manualLayout>
              <c:xMode val="edge"/>
              <c:yMode val="edge"/>
              <c:x val="0.3928834722222222"/>
              <c:y val="0.96118389131489568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449580</xdr:colOff>
      <xdr:row>2</xdr:row>
      <xdr:rowOff>0</xdr:rowOff>
    </xdr:from>
    <xdr:ext cx="6640020" cy="457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0</xdr:rowOff>
    </xdr:from>
    <xdr:ext cx="7200000" cy="52349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showGridLines="0" workbookViewId="0">
      <selection activeCell="E12" sqref="E12"/>
    </sheetView>
  </sheetViews>
  <sheetFormatPr defaultRowHeight="14.4" x14ac:dyDescent="0.3"/>
  <cols>
    <col min="1" max="1" width="34" customWidth="1"/>
    <col min="2" max="2" width="40" customWidth="1"/>
    <col min="3" max="3" width="51.21875" customWidth="1"/>
  </cols>
  <sheetData>
    <row r="1" spans="1:3" ht="36" customHeight="1" x14ac:dyDescent="0.3">
      <c r="A1" s="34" t="s">
        <v>0</v>
      </c>
      <c r="B1" s="35"/>
      <c r="C1" s="35"/>
    </row>
    <row r="2" spans="1:3" ht="6" customHeight="1" x14ac:dyDescent="0.3"/>
    <row r="3" spans="1:3" ht="22.05" customHeight="1" x14ac:dyDescent="0.3">
      <c r="A3" s="56" t="s">
        <v>209</v>
      </c>
      <c r="B3" s="35"/>
      <c r="C3" s="35"/>
    </row>
    <row r="4" spans="1:3" ht="22.05" customHeight="1" x14ac:dyDescent="0.3">
      <c r="A4" s="1"/>
      <c r="B4" s="58" t="s">
        <v>147</v>
      </c>
      <c r="C4" s="58" t="s">
        <v>123</v>
      </c>
    </row>
    <row r="5" spans="1:3" ht="28.8" customHeight="1" x14ac:dyDescent="0.3">
      <c r="A5" s="2" t="s">
        <v>2</v>
      </c>
      <c r="B5" s="2" t="s">
        <v>3</v>
      </c>
      <c r="C5" s="2" t="s">
        <v>4</v>
      </c>
    </row>
    <row r="6" spans="1:3" ht="35.4" customHeight="1" x14ac:dyDescent="0.3">
      <c r="A6" s="3" t="s">
        <v>5</v>
      </c>
      <c r="B6" s="3" t="s">
        <v>6</v>
      </c>
      <c r="C6" s="3" t="s">
        <v>7</v>
      </c>
    </row>
    <row r="7" spans="1:3" ht="22.05" customHeight="1" x14ac:dyDescent="0.3">
      <c r="A7" s="2" t="s">
        <v>8</v>
      </c>
      <c r="B7" s="2" t="s">
        <v>9</v>
      </c>
      <c r="C7" s="2" t="s">
        <v>10</v>
      </c>
    </row>
    <row r="8" spans="1:3" ht="22.05" customHeight="1" x14ac:dyDescent="0.3">
      <c r="A8" s="3" t="s">
        <v>11</v>
      </c>
      <c r="B8" s="3" t="s">
        <v>12</v>
      </c>
      <c r="C8" s="3" t="s">
        <v>13</v>
      </c>
    </row>
    <row r="9" spans="1:3" ht="25.2" customHeight="1" x14ac:dyDescent="0.3">
      <c r="A9" s="2" t="s">
        <v>14</v>
      </c>
      <c r="B9" s="2" t="s">
        <v>15</v>
      </c>
      <c r="C9" s="2" t="s">
        <v>16</v>
      </c>
    </row>
    <row r="10" spans="1:3" ht="22.05" customHeight="1" x14ac:dyDescent="0.3">
      <c r="A10" s="3" t="s">
        <v>17</v>
      </c>
      <c r="B10" s="3" t="s">
        <v>18</v>
      </c>
      <c r="C10" s="3" t="s">
        <v>19</v>
      </c>
    </row>
    <row r="11" spans="1:3" ht="22.05" customHeight="1" x14ac:dyDescent="0.3">
      <c r="A11" s="2" t="s">
        <v>20</v>
      </c>
      <c r="B11" s="2" t="s">
        <v>21</v>
      </c>
      <c r="C11" s="2" t="s">
        <v>22</v>
      </c>
    </row>
    <row r="12" spans="1:3" ht="22.05" customHeight="1" x14ac:dyDescent="0.3"/>
    <row r="13" spans="1:3" ht="6" customHeight="1" x14ac:dyDescent="0.3"/>
    <row r="14" spans="1:3" ht="22.05" customHeight="1" x14ac:dyDescent="0.3">
      <c r="A14" s="56" t="s">
        <v>210</v>
      </c>
      <c r="B14" s="35"/>
      <c r="C14" s="35"/>
    </row>
    <row r="15" spans="1:3" ht="22.05" customHeight="1" x14ac:dyDescent="0.3">
      <c r="A15" s="1" t="s">
        <v>23</v>
      </c>
      <c r="B15" s="1" t="s">
        <v>24</v>
      </c>
      <c r="C15" s="1"/>
    </row>
    <row r="16" spans="1:3" ht="22.05" customHeight="1" x14ac:dyDescent="0.3">
      <c r="A16" s="2" t="s">
        <v>25</v>
      </c>
      <c r="B16" s="2" t="s">
        <v>106</v>
      </c>
      <c r="C16" s="2"/>
    </row>
    <row r="17" spans="1:3" ht="22.05" customHeight="1" x14ac:dyDescent="0.3">
      <c r="A17" s="3" t="s">
        <v>26</v>
      </c>
      <c r="B17" s="3" t="s">
        <v>106</v>
      </c>
      <c r="C17" s="3"/>
    </row>
    <row r="18" spans="1:3" ht="22.05" customHeight="1" x14ac:dyDescent="0.3">
      <c r="A18" s="2" t="s">
        <v>27</v>
      </c>
      <c r="B18" s="2" t="s">
        <v>108</v>
      </c>
      <c r="C18" s="2"/>
    </row>
    <row r="19" spans="1:3" ht="22.05" customHeight="1" x14ac:dyDescent="0.3">
      <c r="A19" s="3" t="s">
        <v>28</v>
      </c>
      <c r="B19" s="3" t="s">
        <v>109</v>
      </c>
      <c r="C19" s="3"/>
    </row>
    <row r="20" spans="1:3" ht="22.05" customHeight="1" x14ac:dyDescent="0.3">
      <c r="A20" s="2" t="s">
        <v>29</v>
      </c>
      <c r="B20" s="2" t="s">
        <v>108</v>
      </c>
      <c r="C20" s="2"/>
    </row>
    <row r="21" spans="1:3" ht="22.05" customHeight="1" x14ac:dyDescent="0.3">
      <c r="A21" s="3" t="s">
        <v>30</v>
      </c>
      <c r="B21" s="3" t="s">
        <v>106</v>
      </c>
      <c r="C21" s="3"/>
    </row>
    <row r="22" spans="1:3" ht="22.05" customHeight="1" x14ac:dyDescent="0.3">
      <c r="A22" s="2" t="s">
        <v>31</v>
      </c>
      <c r="B22" s="2" t="s">
        <v>107</v>
      </c>
      <c r="C22" s="2"/>
    </row>
    <row r="23" spans="1:3" ht="22.05" customHeight="1" x14ac:dyDescent="0.3"/>
    <row r="24" spans="1:3" ht="6" customHeight="1" x14ac:dyDescent="0.3">
      <c r="A24" s="39"/>
      <c r="B24" s="39"/>
      <c r="C24" s="39"/>
    </row>
    <row r="25" spans="1:3" ht="22.05" customHeight="1" x14ac:dyDescent="0.3">
      <c r="A25" s="40"/>
      <c r="B25" s="41"/>
      <c r="C25" s="41"/>
    </row>
    <row r="26" spans="1:3" ht="22.05" customHeight="1" x14ac:dyDescent="0.3">
      <c r="A26" s="42"/>
      <c r="B26" s="42"/>
      <c r="C26" s="42"/>
    </row>
    <row r="27" spans="1:3" ht="22.05" customHeight="1" x14ac:dyDescent="0.3">
      <c r="A27" s="43"/>
      <c r="B27" s="43"/>
      <c r="C27" s="43"/>
    </row>
    <row r="28" spans="1:3" ht="22.05" customHeight="1" x14ac:dyDescent="0.3">
      <c r="A28" s="43"/>
      <c r="B28" s="43"/>
      <c r="C28" s="43"/>
    </row>
    <row r="29" spans="1:3" x14ac:dyDescent="0.3">
      <c r="A29" s="39"/>
      <c r="B29" s="39"/>
      <c r="C29" s="39"/>
    </row>
    <row r="30" spans="1:3" x14ac:dyDescent="0.3">
      <c r="A30" s="39"/>
      <c r="B30" s="39"/>
      <c r="C30" s="39"/>
    </row>
    <row r="31" spans="1:3" x14ac:dyDescent="0.3">
      <c r="A31" s="39"/>
      <c r="B31" s="39"/>
      <c r="C31" s="39"/>
    </row>
    <row r="32" spans="1:3" x14ac:dyDescent="0.3">
      <c r="A32" s="39"/>
      <c r="B32" s="39"/>
      <c r="C32" s="39"/>
    </row>
  </sheetData>
  <mergeCells count="4">
    <mergeCell ref="A1:C1"/>
    <mergeCell ref="A25:C25"/>
    <mergeCell ref="A14:C14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workbookViewId="0">
      <selection activeCell="F15" sqref="F15"/>
    </sheetView>
  </sheetViews>
  <sheetFormatPr defaultRowHeight="14.4" x14ac:dyDescent="0.3"/>
  <cols>
    <col min="1" max="1" width="30" customWidth="1"/>
    <col min="2" max="4" width="22" customWidth="1"/>
  </cols>
  <sheetData>
    <row r="1" spans="1:4" ht="36" customHeight="1" x14ac:dyDescent="0.3">
      <c r="A1" s="34" t="s">
        <v>110</v>
      </c>
      <c r="B1" s="35"/>
      <c r="C1" s="35"/>
      <c r="D1" s="35"/>
    </row>
    <row r="2" spans="1:4" ht="6" customHeight="1" x14ac:dyDescent="0.3"/>
    <row r="3" spans="1:4" ht="22.05" customHeight="1" x14ac:dyDescent="0.3">
      <c r="A3" s="36" t="s">
        <v>32</v>
      </c>
      <c r="B3" s="35"/>
      <c r="C3" s="35"/>
      <c r="D3" s="35"/>
    </row>
    <row r="4" spans="1:4" ht="22.05" customHeight="1" x14ac:dyDescent="0.3">
      <c r="A4" s="1" t="s">
        <v>1</v>
      </c>
      <c r="B4" s="1" t="s">
        <v>33</v>
      </c>
      <c r="C4" s="1" t="s">
        <v>34</v>
      </c>
      <c r="D4" s="1" t="s">
        <v>35</v>
      </c>
    </row>
    <row r="5" spans="1:4" ht="22.05" customHeight="1" x14ac:dyDescent="0.3">
      <c r="A5" s="5" t="s">
        <v>111</v>
      </c>
      <c r="B5" s="6">
        <v>1994.63</v>
      </c>
      <c r="C5" s="7">
        <v>4660.82</v>
      </c>
      <c r="D5" s="7">
        <v>1996.1</v>
      </c>
    </row>
    <row r="6" spans="1:4" ht="22.05" customHeight="1" x14ac:dyDescent="0.3">
      <c r="A6" s="8" t="s">
        <v>114</v>
      </c>
      <c r="B6" s="9">
        <v>1223.72</v>
      </c>
      <c r="C6" s="10">
        <v>2769</v>
      </c>
      <c r="D6" s="10">
        <v>1996</v>
      </c>
    </row>
    <row r="7" spans="1:4" ht="22.05" customHeight="1" x14ac:dyDescent="0.3">
      <c r="A7" s="11" t="s">
        <v>113</v>
      </c>
      <c r="B7" s="12">
        <v>4.54</v>
      </c>
      <c r="C7" s="13" t="s">
        <v>36</v>
      </c>
      <c r="D7" s="13" t="s">
        <v>36</v>
      </c>
    </row>
    <row r="8" spans="1:4" ht="22.05" customHeight="1" x14ac:dyDescent="0.3">
      <c r="A8" s="3" t="s">
        <v>112</v>
      </c>
      <c r="B8" s="14">
        <v>2169.4899999999998</v>
      </c>
      <c r="C8" s="15">
        <v>5715.6</v>
      </c>
      <c r="D8" s="15">
        <v>8.8699999999999992</v>
      </c>
    </row>
    <row r="9" spans="1:4" ht="22.05" customHeight="1" x14ac:dyDescent="0.3">
      <c r="A9" s="11" t="s">
        <v>115</v>
      </c>
      <c r="B9" s="13">
        <v>4706693</v>
      </c>
      <c r="C9" s="16">
        <v>32668097</v>
      </c>
      <c r="D9" s="13">
        <v>78.599999999999994</v>
      </c>
    </row>
    <row r="10" spans="1:4" ht="22.05" customHeight="1" x14ac:dyDescent="0.3">
      <c r="A10" s="8" t="s">
        <v>37</v>
      </c>
      <c r="B10" s="9">
        <v>4.54</v>
      </c>
      <c r="C10" s="17">
        <v>9</v>
      </c>
      <c r="D10" s="10">
        <v>1979</v>
      </c>
    </row>
    <row r="11" spans="1:4" ht="22.05" customHeight="1" x14ac:dyDescent="0.3">
      <c r="A11" s="8" t="s">
        <v>38</v>
      </c>
      <c r="B11" s="9">
        <v>11698.03</v>
      </c>
      <c r="C11" s="17">
        <v>34288</v>
      </c>
      <c r="D11" s="10">
        <v>2017</v>
      </c>
    </row>
    <row r="12" spans="1:4" ht="22.05" customHeight="1" x14ac:dyDescent="0.3"/>
    <row r="13" spans="1:4" ht="6" customHeight="1" x14ac:dyDescent="0.3"/>
    <row r="14" spans="1:4" ht="22.05" customHeight="1" x14ac:dyDescent="0.3">
      <c r="A14" s="38" t="s">
        <v>39</v>
      </c>
      <c r="B14" s="35"/>
      <c r="C14" s="35"/>
      <c r="D14" s="35"/>
    </row>
    <row r="15" spans="1:4" ht="45" customHeight="1" x14ac:dyDescent="0.3">
      <c r="A15" s="18" t="s">
        <v>116</v>
      </c>
      <c r="B15" s="44" t="s">
        <v>118</v>
      </c>
      <c r="C15" s="35"/>
      <c r="D15" s="35"/>
    </row>
    <row r="16" spans="1:4" ht="31.2" customHeight="1" x14ac:dyDescent="0.3">
      <c r="A16" s="18" t="s">
        <v>117</v>
      </c>
      <c r="B16" s="45" t="s">
        <v>40</v>
      </c>
      <c r="C16" s="35"/>
      <c r="D16" s="35"/>
    </row>
  </sheetData>
  <mergeCells count="5">
    <mergeCell ref="A1:D1"/>
    <mergeCell ref="B16:D16"/>
    <mergeCell ref="A3:D3"/>
    <mergeCell ref="A14:D14"/>
    <mergeCell ref="B15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showGridLines="0" tabSelected="1" zoomScale="45" workbookViewId="0">
      <selection activeCell="S21" sqref="S21"/>
    </sheetView>
  </sheetViews>
  <sheetFormatPr defaultRowHeight="14.4" x14ac:dyDescent="0.3"/>
  <cols>
    <col min="1" max="1" width="28" customWidth="1"/>
    <col min="2" max="3" width="22" customWidth="1"/>
    <col min="4" max="4" width="32" customWidth="1"/>
  </cols>
  <sheetData>
    <row r="1" spans="1:4" ht="36" customHeight="1" x14ac:dyDescent="0.3">
      <c r="A1" s="34" t="s">
        <v>119</v>
      </c>
      <c r="B1" s="35"/>
      <c r="C1" s="35"/>
      <c r="D1" s="35"/>
    </row>
    <row r="2" spans="1:4" ht="6" customHeight="1" x14ac:dyDescent="0.3"/>
    <row r="3" spans="1:4" ht="22.05" customHeight="1" x14ac:dyDescent="0.3">
      <c r="A3" s="36" t="s">
        <v>122</v>
      </c>
      <c r="B3" s="35"/>
      <c r="C3" s="35"/>
      <c r="D3" s="35"/>
    </row>
    <row r="4" spans="1:4" ht="22.05" customHeight="1" x14ac:dyDescent="0.3">
      <c r="A4" s="1" t="s">
        <v>41</v>
      </c>
      <c r="B4" s="1" t="s">
        <v>120</v>
      </c>
      <c r="C4" s="1" t="s">
        <v>121</v>
      </c>
      <c r="D4" s="1" t="s">
        <v>123</v>
      </c>
    </row>
    <row r="5" spans="1:4" ht="51" customHeight="1" x14ac:dyDescent="0.3">
      <c r="A5" s="4" t="s">
        <v>42</v>
      </c>
      <c r="B5" s="20">
        <v>2.0026999999999999</v>
      </c>
      <c r="C5" s="20">
        <v>4.8329000000000004</v>
      </c>
      <c r="D5" s="4" t="s">
        <v>124</v>
      </c>
    </row>
    <row r="6" spans="1:4" ht="40.799999999999997" customHeight="1" x14ac:dyDescent="0.3">
      <c r="A6" s="4" t="s">
        <v>43</v>
      </c>
      <c r="B6" s="20">
        <v>2.5705</v>
      </c>
      <c r="C6" s="20">
        <v>8.6735000000000007</v>
      </c>
      <c r="D6" s="4" t="s">
        <v>44</v>
      </c>
    </row>
    <row r="7" spans="1:4" ht="43.2" customHeight="1" x14ac:dyDescent="0.3">
      <c r="A7" s="19" t="s">
        <v>35</v>
      </c>
      <c r="B7" s="19" t="s">
        <v>36</v>
      </c>
      <c r="C7" s="19" t="s">
        <v>36</v>
      </c>
      <c r="D7" s="19" t="s">
        <v>45</v>
      </c>
    </row>
    <row r="8" spans="1:4" ht="22.05" customHeight="1" x14ac:dyDescent="0.3"/>
    <row r="9" spans="1:4" ht="6" customHeight="1" x14ac:dyDescent="0.3"/>
    <row r="10" spans="1:4" ht="22.05" customHeight="1" x14ac:dyDescent="0.3"/>
    <row r="11" spans="1:4" ht="6" customHeight="1" x14ac:dyDescent="0.3"/>
    <row r="12" spans="1:4" ht="22.05" customHeight="1" x14ac:dyDescent="0.3">
      <c r="A12" s="36" t="s">
        <v>125</v>
      </c>
      <c r="B12" s="35"/>
      <c r="C12" s="35"/>
      <c r="D12" s="35"/>
    </row>
    <row r="13" spans="1:4" ht="29.4" customHeight="1" x14ac:dyDescent="0.3">
      <c r="A13" s="1" t="s">
        <v>128</v>
      </c>
      <c r="B13" s="1" t="s">
        <v>127</v>
      </c>
      <c r="C13" s="46" t="s">
        <v>126</v>
      </c>
      <c r="D13" s="49"/>
    </row>
    <row r="14" spans="1:4" ht="22.05" customHeight="1" x14ac:dyDescent="0.3">
      <c r="A14" s="11" t="s">
        <v>48</v>
      </c>
      <c r="B14" s="13">
        <v>36</v>
      </c>
      <c r="C14" s="47">
        <v>42</v>
      </c>
      <c r="D14" s="50"/>
    </row>
    <row r="15" spans="1:4" ht="22.05" customHeight="1" x14ac:dyDescent="0.3">
      <c r="A15" s="3" t="s">
        <v>49</v>
      </c>
      <c r="B15" s="15">
        <v>17</v>
      </c>
      <c r="C15" s="48">
        <v>20</v>
      </c>
      <c r="D15" s="50"/>
    </row>
    <row r="16" spans="1:4" ht="22.05" customHeight="1" x14ac:dyDescent="0.3">
      <c r="A16" s="11" t="s">
        <v>50</v>
      </c>
      <c r="B16" s="13">
        <v>16</v>
      </c>
      <c r="C16" s="47">
        <v>19</v>
      </c>
      <c r="D16" s="50"/>
    </row>
    <row r="17" spans="1:4" ht="22.05" customHeight="1" x14ac:dyDescent="0.3">
      <c r="A17" s="3" t="s">
        <v>51</v>
      </c>
      <c r="B17" s="15">
        <v>4</v>
      </c>
      <c r="C17" s="48">
        <v>5</v>
      </c>
      <c r="D17" s="50"/>
    </row>
    <row r="18" spans="1:4" ht="22.05" customHeight="1" x14ac:dyDescent="0.3">
      <c r="A18" s="11" t="s">
        <v>52</v>
      </c>
      <c r="B18" s="13">
        <v>4</v>
      </c>
      <c r="C18" s="47">
        <v>5</v>
      </c>
      <c r="D18" s="50"/>
    </row>
    <row r="19" spans="1:4" ht="22.05" customHeight="1" x14ac:dyDescent="0.3">
      <c r="A19" s="3" t="s">
        <v>53</v>
      </c>
      <c r="B19" s="15">
        <v>2</v>
      </c>
      <c r="C19" s="48">
        <v>2</v>
      </c>
      <c r="D19" s="50"/>
    </row>
    <row r="20" spans="1:4" ht="22.05" customHeight="1" x14ac:dyDescent="0.3">
      <c r="A20" s="11" t="s">
        <v>54</v>
      </c>
      <c r="B20" s="13">
        <v>6</v>
      </c>
      <c r="C20" s="47">
        <v>7</v>
      </c>
      <c r="D20" s="50"/>
    </row>
    <row r="21" spans="1:4" ht="22.05" customHeight="1" x14ac:dyDescent="0.3">
      <c r="A21" s="3" t="s">
        <v>55</v>
      </c>
      <c r="B21" s="15">
        <v>2</v>
      </c>
      <c r="C21" s="48">
        <v>2</v>
      </c>
      <c r="D21" s="50"/>
    </row>
    <row r="22" spans="1:4" ht="22.05" customHeight="1" x14ac:dyDescent="0.3"/>
    <row r="23" spans="1:4" ht="6" customHeight="1" x14ac:dyDescent="0.3"/>
    <row r="24" spans="1:4" ht="22.05" customHeight="1" x14ac:dyDescent="0.3">
      <c r="A24" s="51" t="s">
        <v>123</v>
      </c>
      <c r="B24" s="35"/>
      <c r="C24" s="35"/>
      <c r="D24" s="35"/>
    </row>
    <row r="25" spans="1:4" ht="22.05" customHeight="1" x14ac:dyDescent="0.3">
      <c r="A25" s="52" t="s">
        <v>129</v>
      </c>
      <c r="B25" s="54"/>
      <c r="C25" s="54"/>
      <c r="D25" s="54"/>
    </row>
    <row r="26" spans="1:4" ht="22.05" customHeight="1" x14ac:dyDescent="0.3">
      <c r="A26" s="53" t="s">
        <v>130</v>
      </c>
      <c r="B26" s="54"/>
      <c r="C26" s="54"/>
      <c r="D26" s="54"/>
    </row>
  </sheetData>
  <mergeCells count="6">
    <mergeCell ref="A1:D1"/>
    <mergeCell ref="A3:D3"/>
    <mergeCell ref="A26:D26"/>
    <mergeCell ref="A25:D25"/>
    <mergeCell ref="A12:D12"/>
    <mergeCell ref="A24:D2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showGridLines="0" workbookViewId="0">
      <selection activeCell="E17" sqref="E17"/>
    </sheetView>
  </sheetViews>
  <sheetFormatPr defaultRowHeight="14.4" x14ac:dyDescent="0.3"/>
  <cols>
    <col min="1" max="1" width="30" customWidth="1"/>
    <col min="2" max="4" width="20" customWidth="1"/>
    <col min="5" max="5" width="36" customWidth="1"/>
  </cols>
  <sheetData>
    <row r="1" spans="1:5" ht="36" customHeight="1" x14ac:dyDescent="0.3">
      <c r="A1" s="55" t="s">
        <v>131</v>
      </c>
      <c r="B1" s="35"/>
      <c r="C1" s="35"/>
      <c r="D1" s="35"/>
      <c r="E1" s="35"/>
    </row>
    <row r="2" spans="1:5" ht="6" customHeight="1" x14ac:dyDescent="0.3"/>
    <row r="3" spans="1:5" ht="22.05" customHeight="1" x14ac:dyDescent="0.3">
      <c r="A3" s="56" t="s">
        <v>136</v>
      </c>
      <c r="B3" s="35"/>
      <c r="C3" s="35"/>
      <c r="D3" s="35"/>
      <c r="E3" s="35"/>
    </row>
    <row r="4" spans="1:5" ht="22.05" customHeight="1" x14ac:dyDescent="0.3">
      <c r="A4" s="1"/>
      <c r="B4" s="58" t="s">
        <v>132</v>
      </c>
      <c r="C4" s="58" t="s">
        <v>133</v>
      </c>
      <c r="D4" s="58" t="s">
        <v>134</v>
      </c>
      <c r="E4" s="58" t="s">
        <v>123</v>
      </c>
    </row>
    <row r="5" spans="1:5" ht="22.05" customHeight="1" x14ac:dyDescent="0.3">
      <c r="A5" s="57" t="s">
        <v>132</v>
      </c>
      <c r="B5" s="10">
        <v>1</v>
      </c>
      <c r="C5" s="24">
        <v>0.94599999999999995</v>
      </c>
      <c r="D5" s="20">
        <v>-0.435</v>
      </c>
      <c r="E5" s="59" t="s">
        <v>135</v>
      </c>
    </row>
    <row r="6" spans="1:5" ht="22.05" customHeight="1" x14ac:dyDescent="0.3">
      <c r="A6" s="57" t="s">
        <v>133</v>
      </c>
      <c r="B6" s="24">
        <v>0.94599999999999995</v>
      </c>
      <c r="C6" s="10">
        <v>1</v>
      </c>
      <c r="D6" s="20">
        <v>-0.42799999999999999</v>
      </c>
      <c r="E6" s="25" t="s">
        <v>56</v>
      </c>
    </row>
    <row r="7" spans="1:5" ht="22.05" customHeight="1" x14ac:dyDescent="0.3">
      <c r="A7" s="57" t="s">
        <v>134</v>
      </c>
      <c r="B7" s="20">
        <v>-0.435</v>
      </c>
      <c r="C7" s="20">
        <v>-0.42799999999999999</v>
      </c>
      <c r="D7" s="10">
        <v>1</v>
      </c>
      <c r="E7" s="25" t="s">
        <v>57</v>
      </c>
    </row>
    <row r="8" spans="1:5" ht="22.05" customHeight="1" x14ac:dyDescent="0.3"/>
    <row r="9" spans="1:5" ht="6" customHeight="1" x14ac:dyDescent="0.3"/>
    <row r="10" spans="1:5" ht="22.05" customHeight="1" x14ac:dyDescent="0.3">
      <c r="A10" s="56" t="s">
        <v>137</v>
      </c>
      <c r="B10" s="35"/>
      <c r="C10" s="35"/>
      <c r="D10" s="35"/>
      <c r="E10" s="35"/>
    </row>
    <row r="11" spans="1:5" ht="22.05" customHeight="1" x14ac:dyDescent="0.3">
      <c r="A11" s="1" t="s">
        <v>58</v>
      </c>
      <c r="B11" s="58" t="s">
        <v>142</v>
      </c>
      <c r="C11" s="58" t="s">
        <v>143</v>
      </c>
      <c r="D11" s="58" t="s">
        <v>144</v>
      </c>
      <c r="E11" s="58" t="s">
        <v>123</v>
      </c>
    </row>
    <row r="12" spans="1:5" ht="49.8" customHeight="1" x14ac:dyDescent="0.3">
      <c r="A12" s="60" t="s">
        <v>138</v>
      </c>
      <c r="B12" s="24">
        <v>0.94599999999999995</v>
      </c>
      <c r="C12" s="24" t="s">
        <v>59</v>
      </c>
      <c r="D12" s="60" t="s">
        <v>141</v>
      </c>
      <c r="E12" s="63" t="s">
        <v>60</v>
      </c>
    </row>
    <row r="13" spans="1:5" ht="27.6" customHeight="1" x14ac:dyDescent="0.3">
      <c r="A13" s="61" t="s">
        <v>139</v>
      </c>
      <c r="B13" s="20">
        <v>-0.435</v>
      </c>
      <c r="C13" s="20" t="s">
        <v>47</v>
      </c>
      <c r="D13" s="26" t="s">
        <v>61</v>
      </c>
      <c r="E13" s="68" t="s">
        <v>62</v>
      </c>
    </row>
    <row r="14" spans="1:5" ht="31.2" customHeight="1" x14ac:dyDescent="0.3">
      <c r="A14" s="62" t="s">
        <v>140</v>
      </c>
      <c r="B14" s="13">
        <v>-0.42799999999999999</v>
      </c>
      <c r="C14" s="13" t="s">
        <v>47</v>
      </c>
      <c r="D14" s="5" t="s">
        <v>61</v>
      </c>
      <c r="E14" s="11" t="s">
        <v>63</v>
      </c>
    </row>
    <row r="15" spans="1:5" ht="22.05" customHeight="1" x14ac:dyDescent="0.3"/>
    <row r="16" spans="1:5" ht="6" customHeight="1" x14ac:dyDescent="0.3"/>
    <row r="17" spans="1:6" ht="22.05" customHeight="1" x14ac:dyDescent="0.3">
      <c r="A17" s="67"/>
      <c r="B17" s="65"/>
      <c r="C17" s="65"/>
      <c r="D17" s="65"/>
      <c r="E17" s="65"/>
      <c r="F17" s="64"/>
    </row>
    <row r="18" spans="1:6" ht="22.05" customHeight="1" x14ac:dyDescent="0.3">
      <c r="A18" s="66"/>
      <c r="B18" s="66"/>
      <c r="C18" s="66"/>
      <c r="D18" s="66"/>
      <c r="E18" s="66"/>
      <c r="F18" s="64"/>
    </row>
    <row r="19" spans="1:6" ht="22.05" customHeight="1" x14ac:dyDescent="0.3">
      <c r="A19" s="66"/>
      <c r="B19" s="66"/>
      <c r="C19" s="66"/>
      <c r="D19" s="66"/>
      <c r="E19" s="66"/>
      <c r="F19" s="64"/>
    </row>
    <row r="20" spans="1:6" ht="22.05" customHeight="1" x14ac:dyDescent="0.3">
      <c r="A20" s="66"/>
      <c r="B20" s="66"/>
      <c r="C20" s="66"/>
      <c r="D20" s="66"/>
      <c r="E20" s="66"/>
      <c r="F20" s="64"/>
    </row>
    <row r="21" spans="1:6" ht="22.05" customHeight="1" x14ac:dyDescent="0.3">
      <c r="A21" s="66"/>
      <c r="B21" s="66"/>
      <c r="C21" s="66"/>
      <c r="D21" s="66"/>
      <c r="E21" s="66"/>
      <c r="F21" s="64"/>
    </row>
    <row r="22" spans="1:6" ht="22.05" customHeight="1" x14ac:dyDescent="0.3">
      <c r="A22" s="66"/>
      <c r="B22" s="66"/>
      <c r="C22" s="66"/>
      <c r="D22" s="66"/>
      <c r="E22" s="66"/>
      <c r="F22" s="64"/>
    </row>
    <row r="23" spans="1:6" x14ac:dyDescent="0.3">
      <c r="A23" s="64"/>
      <c r="B23" s="64"/>
      <c r="C23" s="64"/>
      <c r="D23" s="64"/>
      <c r="E23" s="64"/>
      <c r="F23" s="64"/>
    </row>
    <row r="24" spans="1:6" x14ac:dyDescent="0.3">
      <c r="A24" s="64"/>
      <c r="B24" s="64"/>
      <c r="C24" s="64"/>
      <c r="D24" s="64"/>
      <c r="E24" s="64"/>
      <c r="F24" s="64"/>
    </row>
    <row r="25" spans="1:6" x14ac:dyDescent="0.3">
      <c r="A25" s="64"/>
      <c r="B25" s="64"/>
      <c r="C25" s="64"/>
      <c r="D25" s="64"/>
      <c r="E25" s="64"/>
      <c r="F25" s="64"/>
    </row>
  </sheetData>
  <mergeCells count="3">
    <mergeCell ref="A10:E10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showGridLines="0" workbookViewId="0">
      <selection activeCell="D20" sqref="D20"/>
    </sheetView>
  </sheetViews>
  <sheetFormatPr defaultRowHeight="14.4" x14ac:dyDescent="0.3"/>
  <cols>
    <col min="1" max="1" width="32" customWidth="1"/>
    <col min="2" max="2" width="22" customWidth="1"/>
    <col min="3" max="3" width="30.109375" customWidth="1"/>
    <col min="4" max="4" width="22" customWidth="1"/>
    <col min="5" max="5" width="34" customWidth="1"/>
  </cols>
  <sheetData>
    <row r="1" spans="1:5" ht="36" customHeight="1" x14ac:dyDescent="0.3">
      <c r="A1" s="55" t="s">
        <v>145</v>
      </c>
      <c r="B1" s="35"/>
      <c r="C1" s="35"/>
      <c r="D1" s="35"/>
      <c r="E1" s="35"/>
    </row>
    <row r="2" spans="1:5" ht="6" customHeight="1" x14ac:dyDescent="0.3"/>
    <row r="3" spans="1:5" ht="22.05" customHeight="1" x14ac:dyDescent="0.3">
      <c r="A3" s="72" t="s">
        <v>146</v>
      </c>
      <c r="B3" s="72"/>
      <c r="C3" s="72"/>
      <c r="D3" s="72"/>
      <c r="E3" s="71"/>
    </row>
    <row r="4" spans="1:5" ht="22.05" customHeight="1" x14ac:dyDescent="0.3">
      <c r="A4" s="1" t="s">
        <v>1</v>
      </c>
      <c r="B4" s="58" t="s">
        <v>147</v>
      </c>
      <c r="C4" s="58" t="s">
        <v>123</v>
      </c>
      <c r="D4" s="58"/>
    </row>
    <row r="5" spans="1:5" ht="38.4" customHeight="1" x14ac:dyDescent="0.3">
      <c r="A5" s="27" t="s">
        <v>64</v>
      </c>
      <c r="B5" s="28">
        <v>0.89510000000000001</v>
      </c>
      <c r="C5" s="69" t="s">
        <v>149</v>
      </c>
      <c r="D5" s="29"/>
    </row>
    <row r="6" spans="1:5" ht="28.2" customHeight="1" x14ac:dyDescent="0.3">
      <c r="A6" s="70" t="s">
        <v>150</v>
      </c>
      <c r="B6" s="30">
        <v>706.96</v>
      </c>
      <c r="C6" s="3" t="s">
        <v>65</v>
      </c>
      <c r="D6" s="15"/>
    </row>
    <row r="7" spans="1:5" ht="44.4" customHeight="1" x14ac:dyDescent="0.3">
      <c r="A7" s="60" t="s">
        <v>151</v>
      </c>
      <c r="B7" s="31">
        <v>320.89</v>
      </c>
      <c r="C7" s="63" t="s">
        <v>152</v>
      </c>
      <c r="D7" s="24"/>
    </row>
    <row r="8" spans="1:5" ht="22.05" customHeight="1" x14ac:dyDescent="0.3">
      <c r="A8" s="60" t="s">
        <v>153</v>
      </c>
      <c r="B8" s="31">
        <v>0.35909999999999997</v>
      </c>
      <c r="C8" s="19" t="s">
        <v>66</v>
      </c>
      <c r="D8" s="24"/>
    </row>
    <row r="9" spans="1:5" ht="22.05" customHeight="1" x14ac:dyDescent="0.3"/>
    <row r="10" spans="1:5" ht="6" customHeight="1" x14ac:dyDescent="0.3"/>
    <row r="11" spans="1:5" ht="22.05" customHeight="1" x14ac:dyDescent="0.3">
      <c r="A11" s="73" t="s">
        <v>154</v>
      </c>
      <c r="B11" s="35"/>
      <c r="C11" s="35"/>
      <c r="D11" s="35"/>
      <c r="E11" s="35"/>
    </row>
    <row r="12" spans="1:5" ht="22.05" customHeight="1" x14ac:dyDescent="0.3">
      <c r="A12" s="74" t="s">
        <v>155</v>
      </c>
      <c r="B12" s="35"/>
      <c r="C12" s="35"/>
      <c r="D12" s="35"/>
      <c r="E12" s="35"/>
    </row>
    <row r="13" spans="1:5" ht="6" customHeight="1" x14ac:dyDescent="0.3"/>
    <row r="14" spans="1:5" ht="22.05" customHeight="1" x14ac:dyDescent="0.3">
      <c r="A14" s="51" t="s">
        <v>123</v>
      </c>
      <c r="B14" s="35"/>
      <c r="C14" s="35"/>
      <c r="D14" s="35"/>
      <c r="E14" s="35"/>
    </row>
    <row r="15" spans="1:5" ht="37.200000000000003" customHeight="1" x14ac:dyDescent="0.3">
      <c r="A15" s="18" t="s">
        <v>67</v>
      </c>
      <c r="B15" s="52" t="s">
        <v>156</v>
      </c>
      <c r="C15" s="35"/>
      <c r="D15" s="35"/>
      <c r="E15" s="35"/>
    </row>
    <row r="16" spans="1:5" ht="22.05" customHeight="1" x14ac:dyDescent="0.3">
      <c r="A16" s="75" t="s">
        <v>158</v>
      </c>
      <c r="B16" s="37" t="s">
        <v>68</v>
      </c>
      <c r="C16" s="35"/>
      <c r="D16" s="35"/>
      <c r="E16" s="35"/>
    </row>
    <row r="17" spans="1:5" ht="33" customHeight="1" x14ac:dyDescent="0.3">
      <c r="A17" s="18" t="s">
        <v>69</v>
      </c>
      <c r="B17" s="52" t="s">
        <v>157</v>
      </c>
      <c r="C17" s="35"/>
      <c r="D17" s="35"/>
      <c r="E17" s="35"/>
    </row>
    <row r="18" spans="1:5" ht="22.05" customHeight="1" x14ac:dyDescent="0.3">
      <c r="A18" s="75" t="s">
        <v>159</v>
      </c>
      <c r="B18" s="37" t="s">
        <v>70</v>
      </c>
      <c r="C18" s="35"/>
      <c r="D18" s="35"/>
      <c r="E18" s="35"/>
    </row>
    <row r="19" spans="1:5" ht="22.05" customHeight="1" x14ac:dyDescent="0.3">
      <c r="A19" s="60" t="s">
        <v>160</v>
      </c>
      <c r="B19" s="52" t="s">
        <v>161</v>
      </c>
      <c r="C19" s="35"/>
      <c r="D19" s="35"/>
      <c r="E19" s="35"/>
    </row>
  </sheetData>
  <mergeCells count="10">
    <mergeCell ref="B19:E19"/>
    <mergeCell ref="A3:D3"/>
    <mergeCell ref="B17:E17"/>
    <mergeCell ref="B15:E15"/>
    <mergeCell ref="A12:E12"/>
    <mergeCell ref="B18:E18"/>
    <mergeCell ref="A1:E1"/>
    <mergeCell ref="B16:E16"/>
    <mergeCell ref="A11:E11"/>
    <mergeCell ref="A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showGridLines="0" topLeftCell="A7" workbookViewId="0">
      <selection activeCell="B19" sqref="B19"/>
    </sheetView>
  </sheetViews>
  <sheetFormatPr defaultRowHeight="14.4" x14ac:dyDescent="0.3"/>
  <cols>
    <col min="1" max="1" width="32" customWidth="1"/>
    <col min="2" max="4" width="22" customWidth="1"/>
    <col min="5" max="5" width="30" customWidth="1"/>
  </cols>
  <sheetData>
    <row r="1" spans="1:5" ht="36" customHeight="1" x14ac:dyDescent="0.3">
      <c r="A1" s="55" t="s">
        <v>162</v>
      </c>
      <c r="B1" s="35"/>
      <c r="C1" s="35"/>
      <c r="D1" s="35"/>
      <c r="E1" s="35"/>
    </row>
    <row r="2" spans="1:5" ht="6" customHeight="1" x14ac:dyDescent="0.3"/>
    <row r="3" spans="1:5" ht="22.05" customHeight="1" x14ac:dyDescent="0.3">
      <c r="A3" s="56" t="s">
        <v>163</v>
      </c>
      <c r="B3" s="35"/>
      <c r="C3" s="35"/>
      <c r="D3" s="35"/>
      <c r="E3" s="35"/>
    </row>
    <row r="4" spans="1:5" ht="22.05" customHeight="1" x14ac:dyDescent="0.3">
      <c r="A4" s="56" t="s">
        <v>168</v>
      </c>
      <c r="B4" s="56"/>
      <c r="C4" s="56"/>
      <c r="D4" s="56"/>
      <c r="E4" s="56"/>
    </row>
    <row r="5" spans="1:5" ht="22.05" customHeight="1" x14ac:dyDescent="0.3">
      <c r="A5" s="72" t="s">
        <v>169</v>
      </c>
      <c r="B5" s="72"/>
      <c r="C5" s="72"/>
      <c r="D5" s="72"/>
      <c r="E5" s="72"/>
    </row>
    <row r="6" spans="1:5" ht="22.05" customHeight="1" x14ac:dyDescent="0.3">
      <c r="A6" s="1"/>
      <c r="B6" s="58" t="s">
        <v>164</v>
      </c>
      <c r="C6" s="58" t="s">
        <v>165</v>
      </c>
      <c r="D6" s="58" t="s">
        <v>148</v>
      </c>
      <c r="E6" s="58" t="s">
        <v>123</v>
      </c>
    </row>
    <row r="7" spans="1:5" ht="22.05" customHeight="1" x14ac:dyDescent="0.3">
      <c r="A7" s="76" t="s">
        <v>166</v>
      </c>
      <c r="B7" s="11" t="s">
        <v>71</v>
      </c>
      <c r="C7" s="11" t="s">
        <v>72</v>
      </c>
      <c r="D7" s="11" t="s">
        <v>36</v>
      </c>
      <c r="E7" s="11" t="s">
        <v>36</v>
      </c>
    </row>
    <row r="8" spans="1:5" ht="22.05" customHeight="1" x14ac:dyDescent="0.3">
      <c r="A8" s="70" t="s">
        <v>167</v>
      </c>
      <c r="B8" s="3" t="s">
        <v>73</v>
      </c>
      <c r="C8" s="3" t="s">
        <v>74</v>
      </c>
      <c r="D8" s="3" t="s">
        <v>36</v>
      </c>
      <c r="E8" s="3" t="s">
        <v>36</v>
      </c>
    </row>
    <row r="9" spans="1:5" ht="22.05" customHeight="1" x14ac:dyDescent="0.3">
      <c r="A9" s="76" t="s">
        <v>148</v>
      </c>
      <c r="B9" s="11" t="s">
        <v>36</v>
      </c>
      <c r="C9" s="11" t="s">
        <v>36</v>
      </c>
      <c r="D9" s="13">
        <v>0.185</v>
      </c>
      <c r="E9" s="11" t="s">
        <v>36</v>
      </c>
    </row>
    <row r="10" spans="1:5" ht="22.05" customHeight="1" x14ac:dyDescent="0.3">
      <c r="A10" s="70" t="s">
        <v>143</v>
      </c>
      <c r="B10" s="3" t="s">
        <v>36</v>
      </c>
      <c r="C10" s="3" t="s">
        <v>36</v>
      </c>
      <c r="D10" s="15">
        <v>0.85399999999999998</v>
      </c>
      <c r="E10" s="3" t="s">
        <v>36</v>
      </c>
    </row>
    <row r="11" spans="1:5" ht="34.200000000000003" customHeight="1" x14ac:dyDescent="0.3">
      <c r="A11" s="32"/>
      <c r="B11" s="32" t="s">
        <v>75</v>
      </c>
      <c r="C11" s="32" t="s">
        <v>76</v>
      </c>
      <c r="D11" s="32" t="s">
        <v>36</v>
      </c>
      <c r="E11" s="77" t="s">
        <v>170</v>
      </c>
    </row>
    <row r="12" spans="1:5" ht="22.05" customHeight="1" x14ac:dyDescent="0.3"/>
    <row r="13" spans="1:5" ht="22.05" customHeight="1" x14ac:dyDescent="0.3"/>
    <row r="14" spans="1:5" ht="6" customHeight="1" x14ac:dyDescent="0.3"/>
    <row r="15" spans="1:5" ht="22.05" customHeight="1" x14ac:dyDescent="0.3">
      <c r="A15" s="51" t="s">
        <v>123</v>
      </c>
      <c r="B15" s="51"/>
      <c r="C15" s="51"/>
      <c r="D15" s="51"/>
      <c r="E15" s="51"/>
    </row>
    <row r="16" spans="1:5" ht="41.4" customHeight="1" x14ac:dyDescent="0.3">
      <c r="A16" s="79" t="s">
        <v>171</v>
      </c>
      <c r="B16" s="78"/>
      <c r="C16" s="78"/>
      <c r="D16" s="78"/>
      <c r="E16" s="78"/>
    </row>
  </sheetData>
  <mergeCells count="6">
    <mergeCell ref="A3:E3"/>
    <mergeCell ref="A4:E4"/>
    <mergeCell ref="A5:E5"/>
    <mergeCell ref="A16:E16"/>
    <mergeCell ref="A15:E15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4"/>
  <sheetViews>
    <sheetView showGridLines="0" topLeftCell="A11" zoomScale="104" workbookViewId="0">
      <selection activeCell="A13" sqref="A13:A22"/>
    </sheetView>
  </sheetViews>
  <sheetFormatPr defaultRowHeight="14.4" x14ac:dyDescent="0.3"/>
  <cols>
    <col min="1" max="1" width="28" customWidth="1"/>
    <col min="2" max="2" width="18" customWidth="1"/>
    <col min="3" max="3" width="26.109375" customWidth="1"/>
    <col min="4" max="5" width="18" customWidth="1"/>
    <col min="6" max="6" width="30" customWidth="1"/>
  </cols>
  <sheetData>
    <row r="1" spans="1:6" ht="36" customHeight="1" x14ac:dyDescent="0.3">
      <c r="A1" s="55" t="s">
        <v>172</v>
      </c>
      <c r="B1" s="35"/>
      <c r="C1" s="35"/>
      <c r="D1" s="35"/>
      <c r="E1" s="35"/>
      <c r="F1" s="35"/>
    </row>
    <row r="2" spans="1:6" ht="6" customHeight="1" x14ac:dyDescent="0.3"/>
    <row r="3" spans="1:6" ht="22.05" customHeight="1" x14ac:dyDescent="0.3">
      <c r="A3" s="56" t="s">
        <v>77</v>
      </c>
      <c r="B3" s="35"/>
      <c r="C3" s="35"/>
      <c r="D3" s="35"/>
      <c r="E3" s="35"/>
      <c r="F3" s="35"/>
    </row>
    <row r="4" spans="1:6" ht="22.05" customHeight="1" x14ac:dyDescent="0.3">
      <c r="A4" s="1"/>
      <c r="B4" s="58" t="s">
        <v>147</v>
      </c>
      <c r="C4" s="58" t="s">
        <v>173</v>
      </c>
      <c r="D4" s="1" t="s">
        <v>36</v>
      </c>
      <c r="E4" s="1" t="s">
        <v>36</v>
      </c>
    </row>
    <row r="5" spans="1:6" ht="22.05" customHeight="1" x14ac:dyDescent="0.3">
      <c r="A5" s="76" t="s">
        <v>174</v>
      </c>
      <c r="B5" s="13">
        <v>1.4984999999999999</v>
      </c>
      <c r="C5" s="11" t="s">
        <v>36</v>
      </c>
      <c r="D5" s="11"/>
      <c r="E5" s="11"/>
    </row>
    <row r="6" spans="1:6" ht="22.05" customHeight="1" x14ac:dyDescent="0.3">
      <c r="A6" s="70" t="s">
        <v>143</v>
      </c>
      <c r="B6" s="15">
        <v>0.16420000000000001</v>
      </c>
      <c r="C6" s="3" t="s">
        <v>36</v>
      </c>
      <c r="D6" s="3"/>
      <c r="E6" s="3"/>
    </row>
    <row r="7" spans="1:6" ht="22.05" customHeight="1" x14ac:dyDescent="0.3">
      <c r="A7" s="3" t="s">
        <v>78</v>
      </c>
      <c r="B7" s="15">
        <v>0.05</v>
      </c>
      <c r="C7" s="3" t="s">
        <v>36</v>
      </c>
      <c r="D7" s="3"/>
      <c r="E7" s="3"/>
    </row>
    <row r="8" spans="1:6" ht="39" customHeight="1" x14ac:dyDescent="0.3">
      <c r="A8" s="77" t="s">
        <v>46</v>
      </c>
      <c r="B8" s="32" t="s">
        <v>75</v>
      </c>
      <c r="C8" s="32" t="s">
        <v>79</v>
      </c>
      <c r="D8" s="32"/>
      <c r="E8" s="32"/>
    </row>
    <row r="9" spans="1:6" ht="22.05" customHeight="1" x14ac:dyDescent="0.3"/>
    <row r="10" spans="1:6" ht="6" customHeight="1" x14ac:dyDescent="0.3"/>
    <row r="11" spans="1:6" ht="22.05" customHeight="1" x14ac:dyDescent="0.3">
      <c r="A11" s="56" t="s">
        <v>178</v>
      </c>
      <c r="B11" s="35"/>
      <c r="C11" s="35"/>
      <c r="D11" s="35"/>
      <c r="E11" s="35"/>
      <c r="F11" s="35"/>
    </row>
    <row r="12" spans="1:6" ht="22.05" customHeight="1" x14ac:dyDescent="0.3">
      <c r="A12" s="1" t="s">
        <v>80</v>
      </c>
      <c r="B12" s="58" t="s">
        <v>111</v>
      </c>
      <c r="C12" s="58" t="s">
        <v>175</v>
      </c>
      <c r="D12" s="58" t="s">
        <v>166</v>
      </c>
      <c r="E12" s="58" t="s">
        <v>176</v>
      </c>
      <c r="F12" s="58" t="s">
        <v>177</v>
      </c>
    </row>
    <row r="13" spans="1:6" ht="22.05" customHeight="1" x14ac:dyDescent="0.3">
      <c r="A13" s="63" t="s">
        <v>86</v>
      </c>
      <c r="B13" s="24">
        <v>4421.49</v>
      </c>
      <c r="C13" s="24">
        <v>4478.47</v>
      </c>
      <c r="D13" s="24">
        <v>7</v>
      </c>
      <c r="E13" s="24">
        <v>98.79</v>
      </c>
      <c r="F13" s="24">
        <v>11698.03</v>
      </c>
    </row>
    <row r="14" spans="1:6" ht="22.05" customHeight="1" x14ac:dyDescent="0.3">
      <c r="A14" s="63" t="s">
        <v>95</v>
      </c>
      <c r="B14" s="24">
        <v>2743.65</v>
      </c>
      <c r="C14" s="24">
        <v>1762.84</v>
      </c>
      <c r="D14" s="24">
        <v>6</v>
      </c>
      <c r="E14" s="24">
        <v>86.68</v>
      </c>
      <c r="F14" s="24">
        <v>6395.05</v>
      </c>
    </row>
    <row r="15" spans="1:6" ht="22.05" customHeight="1" x14ac:dyDescent="0.3">
      <c r="A15" s="76" t="s">
        <v>89</v>
      </c>
      <c r="B15" s="13">
        <v>2315.04</v>
      </c>
      <c r="C15" s="13">
        <v>1233.02</v>
      </c>
      <c r="D15" s="13">
        <v>12</v>
      </c>
      <c r="E15" s="13">
        <v>40.79</v>
      </c>
      <c r="F15" s="13">
        <v>8170.38</v>
      </c>
    </row>
    <row r="16" spans="1:6" ht="22.05" customHeight="1" x14ac:dyDescent="0.3">
      <c r="A16" s="76" t="s">
        <v>93</v>
      </c>
      <c r="B16" s="13">
        <v>2029.17</v>
      </c>
      <c r="C16" s="13">
        <v>1400.32</v>
      </c>
      <c r="D16" s="13">
        <v>8</v>
      </c>
      <c r="E16" s="13">
        <v>52.5</v>
      </c>
      <c r="F16" s="13">
        <v>7537.24</v>
      </c>
    </row>
    <row r="17" spans="1:6" ht="22.05" customHeight="1" x14ac:dyDescent="0.3">
      <c r="A17" s="32" t="s">
        <v>81</v>
      </c>
      <c r="B17" s="33">
        <v>1633.8</v>
      </c>
      <c r="C17" s="33">
        <v>1685.71</v>
      </c>
      <c r="D17" s="33">
        <v>8</v>
      </c>
      <c r="E17" s="33">
        <v>45.39</v>
      </c>
      <c r="F17" s="33">
        <v>3027.46</v>
      </c>
    </row>
    <row r="18" spans="1:6" ht="22.05" customHeight="1" x14ac:dyDescent="0.3">
      <c r="A18" s="77" t="s">
        <v>179</v>
      </c>
      <c r="B18" s="33">
        <v>1610.87</v>
      </c>
      <c r="C18" s="33">
        <v>507.44</v>
      </c>
      <c r="D18" s="33">
        <v>6</v>
      </c>
      <c r="E18" s="33">
        <v>217.87</v>
      </c>
      <c r="F18" s="33">
        <v>4269.8999999999996</v>
      </c>
    </row>
    <row r="19" spans="1:6" ht="22.05" customHeight="1" x14ac:dyDescent="0.3">
      <c r="A19" s="77" t="s">
        <v>180</v>
      </c>
      <c r="B19" s="33">
        <v>1609.16</v>
      </c>
      <c r="C19" s="33">
        <v>1376.8</v>
      </c>
      <c r="D19" s="33">
        <v>17</v>
      </c>
      <c r="E19" s="33">
        <v>71.12</v>
      </c>
      <c r="F19" s="33">
        <v>5158.71</v>
      </c>
    </row>
    <row r="20" spans="1:6" ht="42.6" customHeight="1" x14ac:dyDescent="0.3">
      <c r="A20" s="68" t="s">
        <v>181</v>
      </c>
      <c r="B20" s="20">
        <v>1526.16</v>
      </c>
      <c r="C20" s="20">
        <v>1471.01</v>
      </c>
      <c r="D20" s="20">
        <v>4</v>
      </c>
      <c r="E20" s="20">
        <v>291.27</v>
      </c>
      <c r="F20" s="20">
        <v>2871.35</v>
      </c>
    </row>
    <row r="21" spans="1:6" ht="22.05" customHeight="1" x14ac:dyDescent="0.3">
      <c r="A21" s="68" t="s">
        <v>182</v>
      </c>
      <c r="B21" s="20">
        <v>1414.74</v>
      </c>
      <c r="C21" s="20">
        <v>617.26</v>
      </c>
      <c r="D21" s="20">
        <v>12</v>
      </c>
      <c r="E21" s="20">
        <v>4.54</v>
      </c>
      <c r="F21" s="20">
        <v>3922.42</v>
      </c>
    </row>
    <row r="22" spans="1:6" ht="22.05" customHeight="1" x14ac:dyDescent="0.3">
      <c r="A22" s="80" t="s">
        <v>183</v>
      </c>
      <c r="B22" s="22">
        <v>988.94</v>
      </c>
      <c r="C22" s="22">
        <v>792.46</v>
      </c>
      <c r="D22" s="22">
        <v>5</v>
      </c>
      <c r="E22" s="22">
        <v>405.59</v>
      </c>
      <c r="F22" s="22">
        <v>2041.73</v>
      </c>
    </row>
    <row r="23" spans="1:6" ht="6" customHeight="1" x14ac:dyDescent="0.3"/>
    <row r="24" spans="1:6" ht="22.05" customHeight="1" x14ac:dyDescent="0.3">
      <c r="A24" s="38" t="s">
        <v>82</v>
      </c>
      <c r="B24" s="35"/>
      <c r="C24" s="35"/>
      <c r="D24" s="35"/>
      <c r="E24" s="35"/>
      <c r="F24" s="35"/>
    </row>
  </sheetData>
  <mergeCells count="4">
    <mergeCell ref="A24:F24"/>
    <mergeCell ref="A1:F1"/>
    <mergeCell ref="A11:F11"/>
    <mergeCell ref="A3:F3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"/>
  <sheetViews>
    <sheetView showGridLines="0" topLeftCell="A11" zoomScale="90" zoomScaleNormal="73" workbookViewId="0">
      <selection activeCell="A25" sqref="A25:F25"/>
    </sheetView>
  </sheetViews>
  <sheetFormatPr defaultRowHeight="14.4" x14ac:dyDescent="0.3"/>
  <cols>
    <col min="1" max="1" width="28" customWidth="1"/>
    <col min="2" max="4" width="18" customWidth="1"/>
    <col min="5" max="5" width="22" customWidth="1"/>
    <col min="6" max="6" width="28" customWidth="1"/>
  </cols>
  <sheetData>
    <row r="1" spans="1:6" ht="36" customHeight="1" x14ac:dyDescent="0.3">
      <c r="A1" s="34" t="s">
        <v>184</v>
      </c>
      <c r="B1" s="35"/>
      <c r="C1" s="35"/>
      <c r="D1" s="35"/>
      <c r="E1" s="35"/>
      <c r="F1" s="35"/>
    </row>
    <row r="2" spans="1:6" ht="6" customHeight="1" x14ac:dyDescent="0.3"/>
    <row r="3" spans="1:6" ht="22.05" customHeight="1" x14ac:dyDescent="0.3">
      <c r="A3" s="56" t="s">
        <v>185</v>
      </c>
      <c r="B3" s="35"/>
      <c r="C3" s="35"/>
      <c r="D3" s="35"/>
      <c r="E3" s="35"/>
      <c r="F3" s="35"/>
    </row>
    <row r="4" spans="1:6" ht="22.05" customHeight="1" x14ac:dyDescent="0.3">
      <c r="A4" s="1"/>
      <c r="B4" s="58" t="s">
        <v>132</v>
      </c>
      <c r="C4" s="58" t="s">
        <v>133</v>
      </c>
      <c r="D4" s="1"/>
      <c r="E4" s="1"/>
      <c r="F4" s="1"/>
    </row>
    <row r="5" spans="1:6" ht="22.05" customHeight="1" x14ac:dyDescent="0.3">
      <c r="A5" s="76" t="s">
        <v>186</v>
      </c>
      <c r="B5" s="13">
        <v>497.11</v>
      </c>
      <c r="C5" s="13">
        <v>1179</v>
      </c>
      <c r="D5" s="11"/>
      <c r="E5" s="11"/>
      <c r="F5" s="76"/>
    </row>
    <row r="6" spans="1:6" ht="22.05" customHeight="1" x14ac:dyDescent="0.3">
      <c r="A6" s="70" t="s">
        <v>187</v>
      </c>
      <c r="B6" s="15">
        <v>2741.37</v>
      </c>
      <c r="C6" s="15">
        <v>5595</v>
      </c>
      <c r="D6" s="3"/>
      <c r="E6" s="3"/>
      <c r="F6" s="3"/>
    </row>
    <row r="7" spans="1:6" ht="22.05" customHeight="1" x14ac:dyDescent="0.3">
      <c r="A7" s="11" t="s">
        <v>83</v>
      </c>
      <c r="B7" s="13">
        <v>2244.2600000000002</v>
      </c>
      <c r="C7" s="13">
        <v>4416</v>
      </c>
      <c r="D7" s="11"/>
      <c r="E7" s="11"/>
      <c r="F7" s="11"/>
    </row>
    <row r="8" spans="1:6" ht="22.05" customHeight="1" x14ac:dyDescent="0.3">
      <c r="A8" s="3" t="s">
        <v>84</v>
      </c>
      <c r="B8" s="15">
        <v>-2869.28</v>
      </c>
      <c r="C8" s="15">
        <v>-5445</v>
      </c>
      <c r="D8" s="3"/>
      <c r="E8" s="3"/>
      <c r="F8" s="3"/>
    </row>
    <row r="9" spans="1:6" ht="22.05" customHeight="1" x14ac:dyDescent="0.3">
      <c r="A9" s="76" t="s">
        <v>85</v>
      </c>
      <c r="B9" s="13">
        <v>6107.76</v>
      </c>
      <c r="C9" s="13">
        <v>14219</v>
      </c>
      <c r="D9" s="11"/>
      <c r="E9" s="11"/>
      <c r="F9" s="11"/>
    </row>
    <row r="10" spans="1:6" ht="22.05" customHeight="1" x14ac:dyDescent="0.3"/>
    <row r="11" spans="1:6" ht="6" customHeight="1" x14ac:dyDescent="0.3"/>
    <row r="12" spans="1:6" ht="22.05" customHeight="1" x14ac:dyDescent="0.3">
      <c r="A12" s="81" t="s">
        <v>188</v>
      </c>
      <c r="B12" s="35"/>
      <c r="C12" s="35"/>
      <c r="D12" s="35"/>
      <c r="E12" s="35"/>
      <c r="F12" s="35"/>
    </row>
    <row r="13" spans="1:6" ht="22.05" customHeight="1" x14ac:dyDescent="0.3">
      <c r="A13" s="82" t="s">
        <v>189</v>
      </c>
      <c r="B13" s="82" t="s">
        <v>132</v>
      </c>
      <c r="C13" s="82" t="s">
        <v>133</v>
      </c>
      <c r="D13" s="82" t="s">
        <v>190</v>
      </c>
      <c r="E13" s="82" t="s">
        <v>191</v>
      </c>
      <c r="F13" s="82"/>
    </row>
    <row r="14" spans="1:6" ht="22.05" customHeight="1" x14ac:dyDescent="0.3">
      <c r="A14" s="80" t="s">
        <v>192</v>
      </c>
      <c r="B14" s="22">
        <v>11698.03</v>
      </c>
      <c r="C14" s="22">
        <v>34288</v>
      </c>
      <c r="D14" s="21" t="s">
        <v>86</v>
      </c>
      <c r="E14" s="21" t="s">
        <v>87</v>
      </c>
      <c r="F14" s="21"/>
    </row>
    <row r="15" spans="1:6" ht="22.05" customHeight="1" x14ac:dyDescent="0.3">
      <c r="A15" s="21" t="s">
        <v>88</v>
      </c>
      <c r="B15" s="22">
        <v>8170.38</v>
      </c>
      <c r="C15" s="22">
        <v>16499</v>
      </c>
      <c r="D15" s="21" t="s">
        <v>89</v>
      </c>
      <c r="E15" s="21" t="s">
        <v>90</v>
      </c>
      <c r="F15" s="21"/>
    </row>
    <row r="16" spans="1:6" ht="22.05" customHeight="1" x14ac:dyDescent="0.3">
      <c r="A16" s="21" t="s">
        <v>91</v>
      </c>
      <c r="B16" s="22">
        <v>7708.38</v>
      </c>
      <c r="C16" s="22">
        <v>13756</v>
      </c>
      <c r="D16" s="21" t="s">
        <v>89</v>
      </c>
      <c r="E16" s="21" t="s">
        <v>87</v>
      </c>
      <c r="F16" s="21"/>
    </row>
    <row r="17" spans="1:6" ht="22.05" customHeight="1" x14ac:dyDescent="0.3">
      <c r="A17" s="21" t="s">
        <v>92</v>
      </c>
      <c r="B17" s="22">
        <v>7537.24</v>
      </c>
      <c r="C17" s="22">
        <v>20293</v>
      </c>
      <c r="D17" s="21" t="s">
        <v>93</v>
      </c>
      <c r="E17" s="21" t="s">
        <v>87</v>
      </c>
      <c r="F17" s="21"/>
    </row>
    <row r="18" spans="1:6" ht="22.05" customHeight="1" x14ac:dyDescent="0.3">
      <c r="A18" s="21" t="s">
        <v>94</v>
      </c>
      <c r="B18" s="22">
        <v>6395.05</v>
      </c>
      <c r="C18" s="22">
        <v>20275</v>
      </c>
      <c r="D18" s="21" t="s">
        <v>95</v>
      </c>
      <c r="E18" s="21" t="s">
        <v>87</v>
      </c>
      <c r="F18" s="21"/>
    </row>
    <row r="19" spans="1:6" ht="22.05" customHeight="1" x14ac:dyDescent="0.3">
      <c r="A19" s="21" t="s">
        <v>96</v>
      </c>
      <c r="B19" s="22">
        <v>6354.87</v>
      </c>
      <c r="C19" s="22">
        <v>16780</v>
      </c>
      <c r="D19" s="21" t="s">
        <v>86</v>
      </c>
      <c r="E19" s="21" t="s">
        <v>87</v>
      </c>
      <c r="F19" s="21"/>
    </row>
    <row r="20" spans="1:6" ht="22.05" customHeight="1" x14ac:dyDescent="0.3"/>
    <row r="21" spans="1:6" ht="6" customHeight="1" x14ac:dyDescent="0.3"/>
    <row r="22" spans="1:6" ht="22.05" customHeight="1" x14ac:dyDescent="0.3">
      <c r="A22" s="51" t="s">
        <v>123</v>
      </c>
      <c r="B22" s="35"/>
      <c r="C22" s="35"/>
      <c r="D22" s="35"/>
      <c r="E22" s="35"/>
      <c r="F22" s="35"/>
    </row>
    <row r="23" spans="1:6" ht="22.05" customHeight="1" x14ac:dyDescent="0.3">
      <c r="A23" s="52" t="s">
        <v>193</v>
      </c>
      <c r="B23" s="35"/>
      <c r="C23" s="35"/>
      <c r="D23" s="35"/>
      <c r="E23" s="35"/>
      <c r="F23" s="35"/>
    </row>
    <row r="24" spans="1:6" ht="22.05" customHeight="1" x14ac:dyDescent="0.3">
      <c r="A24" s="53" t="s">
        <v>194</v>
      </c>
      <c r="B24" s="35"/>
      <c r="C24" s="35"/>
      <c r="D24" s="35"/>
      <c r="E24" s="35"/>
      <c r="F24" s="35"/>
    </row>
    <row r="25" spans="1:6" ht="22.05" customHeight="1" x14ac:dyDescent="0.3">
      <c r="A25" s="79" t="s">
        <v>195</v>
      </c>
      <c r="B25" s="83"/>
      <c r="C25" s="83"/>
      <c r="D25" s="83"/>
      <c r="E25" s="83"/>
      <c r="F25" s="83"/>
    </row>
  </sheetData>
  <mergeCells count="7">
    <mergeCell ref="A24:F24"/>
    <mergeCell ref="A1:F1"/>
    <mergeCell ref="A23:F23"/>
    <mergeCell ref="A22:F22"/>
    <mergeCell ref="A12:F12"/>
    <mergeCell ref="A3:F3"/>
    <mergeCell ref="A25:F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1"/>
  <sheetViews>
    <sheetView showGridLines="0" workbookViewId="0">
      <selection activeCell="A18" sqref="A18"/>
    </sheetView>
  </sheetViews>
  <sheetFormatPr defaultRowHeight="14.4" x14ac:dyDescent="0.3"/>
  <cols>
    <col min="1" max="1" width="32" customWidth="1"/>
    <col min="2" max="2" width="52" customWidth="1"/>
    <col min="3" max="3" width="20" customWidth="1"/>
  </cols>
  <sheetData>
    <row r="1" spans="1:3" ht="36" customHeight="1" x14ac:dyDescent="0.3">
      <c r="A1" s="55" t="s">
        <v>196</v>
      </c>
      <c r="B1" s="35"/>
      <c r="C1" s="35"/>
    </row>
    <row r="2" spans="1:3" ht="6" customHeight="1" x14ac:dyDescent="0.3"/>
    <row r="3" spans="1:3" ht="22.05" customHeight="1" x14ac:dyDescent="0.3">
      <c r="A3" s="56" t="s">
        <v>197</v>
      </c>
      <c r="B3" s="35"/>
      <c r="C3" s="35"/>
    </row>
    <row r="4" spans="1:3" ht="22.05" customHeight="1" x14ac:dyDescent="0.3">
      <c r="A4" s="1"/>
      <c r="B4" s="58" t="s">
        <v>198</v>
      </c>
      <c r="C4" s="1"/>
    </row>
    <row r="5" spans="1:3" ht="40.799999999999997" customHeight="1" x14ac:dyDescent="0.3">
      <c r="A5" s="60" t="s">
        <v>202</v>
      </c>
      <c r="B5" s="63" t="s">
        <v>203</v>
      </c>
      <c r="C5" s="19"/>
    </row>
    <row r="6" spans="1:3" ht="35.4" customHeight="1" x14ac:dyDescent="0.3">
      <c r="A6" s="62" t="s">
        <v>201</v>
      </c>
      <c r="B6" s="76" t="s">
        <v>97</v>
      </c>
      <c r="C6" s="11"/>
    </row>
    <row r="7" spans="1:3" ht="37.200000000000003" customHeight="1" x14ac:dyDescent="0.3">
      <c r="A7" s="84" t="s">
        <v>200</v>
      </c>
      <c r="B7" s="77" t="s">
        <v>98</v>
      </c>
      <c r="C7" s="32"/>
    </row>
    <row r="8" spans="1:3" ht="44.4" customHeight="1" x14ac:dyDescent="0.3">
      <c r="A8" s="61" t="s">
        <v>199</v>
      </c>
      <c r="B8" s="4" t="s">
        <v>99</v>
      </c>
      <c r="C8" s="4"/>
    </row>
    <row r="9" spans="1:3" ht="30" customHeight="1" x14ac:dyDescent="0.3">
      <c r="A9" s="23" t="s">
        <v>100</v>
      </c>
      <c r="B9" s="2" t="s">
        <v>101</v>
      </c>
      <c r="C9" s="2"/>
    </row>
    <row r="10" spans="1:3" ht="22.05" customHeight="1" x14ac:dyDescent="0.3"/>
    <row r="11" spans="1:3" ht="7.95" customHeight="1" x14ac:dyDescent="0.3"/>
    <row r="12" spans="1:3" ht="22.05" customHeight="1" x14ac:dyDescent="0.3">
      <c r="A12" s="51" t="s">
        <v>208</v>
      </c>
      <c r="B12" s="35"/>
      <c r="C12" s="35"/>
    </row>
    <row r="13" spans="1:3" ht="31.2" customHeight="1" x14ac:dyDescent="0.3">
      <c r="A13" s="84" t="s">
        <v>204</v>
      </c>
      <c r="B13" s="32" t="s">
        <v>102</v>
      </c>
      <c r="C13" s="32"/>
    </row>
    <row r="14" spans="1:3" ht="33" customHeight="1" x14ac:dyDescent="0.3">
      <c r="A14" s="84" t="s">
        <v>205</v>
      </c>
      <c r="B14" s="32" t="s">
        <v>103</v>
      </c>
      <c r="C14" s="32"/>
    </row>
    <row r="15" spans="1:3" ht="39" customHeight="1" x14ac:dyDescent="0.3">
      <c r="A15" s="62" t="s">
        <v>206</v>
      </c>
      <c r="B15" s="11" t="s">
        <v>104</v>
      </c>
      <c r="C15" s="11"/>
    </row>
    <row r="16" spans="1:3" ht="32.4" customHeight="1" x14ac:dyDescent="0.3">
      <c r="A16" s="60" t="s">
        <v>207</v>
      </c>
      <c r="B16" s="19" t="s">
        <v>105</v>
      </c>
      <c r="C16" s="19"/>
    </row>
    <row r="17" spans="1:5" ht="22.05" customHeight="1" x14ac:dyDescent="0.3">
      <c r="A17" s="64"/>
      <c r="B17" s="64"/>
      <c r="C17" s="64"/>
      <c r="D17" s="64"/>
      <c r="E17" s="64"/>
    </row>
    <row r="18" spans="1:5" ht="6" customHeight="1" x14ac:dyDescent="0.3">
      <c r="A18" s="87"/>
      <c r="B18" s="64"/>
      <c r="C18" s="64"/>
      <c r="D18" s="64"/>
      <c r="E18" s="64"/>
    </row>
    <row r="19" spans="1:5" ht="22.05" customHeight="1" x14ac:dyDescent="0.3">
      <c r="A19" s="85"/>
      <c r="B19" s="85"/>
      <c r="C19" s="85"/>
      <c r="D19" s="64"/>
      <c r="E19" s="64"/>
    </row>
    <row r="20" spans="1:5" ht="22.05" customHeight="1" x14ac:dyDescent="0.3">
      <c r="A20" s="86"/>
      <c r="B20" s="86"/>
      <c r="C20" s="86"/>
      <c r="D20" s="64"/>
      <c r="E20" s="64"/>
    </row>
    <row r="21" spans="1:5" ht="22.05" customHeight="1" x14ac:dyDescent="0.3">
      <c r="A21" s="86"/>
      <c r="B21" s="86"/>
      <c r="C21" s="86"/>
      <c r="D21" s="64"/>
      <c r="E21" s="64"/>
    </row>
    <row r="22" spans="1:5" ht="22.05" customHeight="1" x14ac:dyDescent="0.3">
      <c r="A22" s="86"/>
      <c r="B22" s="86"/>
      <c r="C22" s="86"/>
      <c r="D22" s="64"/>
      <c r="E22" s="64"/>
    </row>
    <row r="23" spans="1:5" ht="22.05" customHeight="1" x14ac:dyDescent="0.3">
      <c r="A23" s="86"/>
      <c r="B23" s="86"/>
      <c r="C23" s="86"/>
      <c r="D23" s="64"/>
      <c r="E23" s="64"/>
    </row>
    <row r="24" spans="1:5" ht="22.05" customHeight="1" x14ac:dyDescent="0.3">
      <c r="A24" s="86"/>
      <c r="B24" s="86"/>
      <c r="C24" s="86"/>
      <c r="D24" s="64"/>
      <c r="E24" s="64"/>
    </row>
    <row r="25" spans="1:5" ht="22.05" customHeight="1" x14ac:dyDescent="0.3">
      <c r="A25" s="86"/>
      <c r="B25" s="86"/>
      <c r="C25" s="86"/>
      <c r="D25" s="64"/>
      <c r="E25" s="64"/>
    </row>
    <row r="26" spans="1:5" ht="22.05" customHeight="1" x14ac:dyDescent="0.3">
      <c r="A26" s="86"/>
      <c r="B26" s="86"/>
      <c r="C26" s="86"/>
      <c r="D26" s="64"/>
      <c r="E26" s="64"/>
    </row>
    <row r="27" spans="1:5" ht="22.05" customHeight="1" x14ac:dyDescent="0.3">
      <c r="A27" s="86"/>
      <c r="B27" s="86"/>
      <c r="C27" s="86"/>
      <c r="D27" s="64"/>
      <c r="E27" s="64"/>
    </row>
    <row r="28" spans="1:5" ht="22.05" customHeight="1" x14ac:dyDescent="0.3">
      <c r="A28" s="86"/>
      <c r="B28" s="86"/>
      <c r="C28" s="86"/>
      <c r="D28" s="64"/>
      <c r="E28" s="64"/>
    </row>
    <row r="29" spans="1:5" ht="22.05" customHeight="1" x14ac:dyDescent="0.3">
      <c r="A29" s="64"/>
      <c r="B29" s="64"/>
      <c r="C29" s="64"/>
      <c r="D29" s="64"/>
      <c r="E29" s="64"/>
    </row>
    <row r="30" spans="1:5" x14ac:dyDescent="0.3">
      <c r="A30" s="64"/>
      <c r="B30" s="64"/>
      <c r="C30" s="64"/>
      <c r="D30" s="64"/>
      <c r="E30" s="64"/>
    </row>
    <row r="31" spans="1:5" x14ac:dyDescent="0.3">
      <c r="A31" s="64"/>
      <c r="B31" s="64"/>
      <c r="C31" s="64"/>
      <c r="D31" s="64"/>
      <c r="E31" s="64"/>
    </row>
  </sheetData>
  <mergeCells count="3">
    <mergeCell ref="A1:C1"/>
    <mergeCell ref="A12:C12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1.Understanding Dataset</vt:lpstr>
      <vt:lpstr>2. Descriptive Statistics</vt:lpstr>
      <vt:lpstr>3. Distribution Analysis</vt:lpstr>
      <vt:lpstr>4. Correlation Analysis</vt:lpstr>
      <vt:lpstr>5. Regression Analysis</vt:lpstr>
      <vt:lpstr>6. Hypothesis Analysis</vt:lpstr>
      <vt:lpstr>7. ANOVA Analysis</vt:lpstr>
      <vt:lpstr>8. Outlier Detection</vt:lpstr>
      <vt:lpstr>9. Conclusion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Ziyoda Usmonjonova</cp:lastModifiedBy>
  <dcterms:created xsi:type="dcterms:W3CDTF">2026-06-17T18:37:13Z</dcterms:created>
  <dcterms:modified xsi:type="dcterms:W3CDTF">2026-06-18T07:52:39Z</dcterms:modified>
</cp:coreProperties>
</file>